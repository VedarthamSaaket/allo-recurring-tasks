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8e3aad86334f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 Tasks" sheetId="1" r:id="R9c144f571d1c4dde"/>
    <x:sheet xmlns:r="http://schemas.openxmlformats.org/officeDocument/2006/relationships" name="Manager Review" sheetId="2" r:id="R2d207c81c9434347"/>
    <x:sheet xmlns:r="http://schemas.openxmlformats.org/officeDocument/2006/relationships" name="Task Master" sheetId="3" r:id="R661119a6d5c5418d"/>
    <x:sheet xmlns:r="http://schemas.openxmlformats.org/officeDocument/2006/relationships" name="Settings" sheetId="4" r:id="R601db9ba1f7f46b8"/>
    <x:sheet xmlns:r="http://schemas.openxmlformats.org/officeDocument/2006/relationships" name="Alert Log" sheetId="5" r:id="Rebd96d3e0b36458c"/>
    <x:sheet xmlns:r="http://schemas.openxmlformats.org/officeDocument/2006/relationships" name="Completion History" sheetId="6" r:id="R2aac65ae30254fe4"/>
    <x:sheet xmlns:r="http://schemas.openxmlformats.org/officeDocument/2006/relationships" name="Setup Check" sheetId="7" r:id="Rd0a9cd129b894a54"/>
    <x:sheet xmlns:r="http://schemas.openxmlformats.org/officeDocument/2006/relationships" name="Test Cases" sheetId="8" r:id="R11336376bfcd4b36"/>
    <x:sheet xmlns:r="http://schemas.openxmlformats.org/officeDocument/2006/relationships" name="Instructions" sheetId="9" r:id="Raa8c489371f34c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 hh:mm"/>
    <x:numFmt numFmtId="201" formatCode="dd-mmm-yyyy"/>
  </x:numFmts>
  <x:fonts count="2">
    <x:font>
      <x:sz val="11"/>
      <x:name val="Carlito"/>
    </x:font>
    <x:font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0903c5b42048a8" /><Relationship Type="http://schemas.openxmlformats.org/officeDocument/2006/relationships/theme" Target="/xl/theme/theme1.xml" Id="R8721486d222e4136" /><Relationship Type="http://schemas.microsoft.com/office/2022/11/relationships/FeaturePropertyBag" Target="/xl/featurePropertyBag/featurePropertyBag.xml" Id="Rfed3e753057045d9" /><Relationship Type="http://schemas.openxmlformats.org/officeDocument/2006/relationships/sharedStrings" Target="/xl/sharedStrings.xml" Id="R3e7df3da9fa04e05" /><Relationship Type="http://schemas.openxmlformats.org/officeDocument/2006/relationships/worksheet" Target="/xl/worksheets/sheet1.xml" Id="R9c144f571d1c4dde" /><Relationship Type="http://schemas.openxmlformats.org/officeDocument/2006/relationships/worksheet" Target="/xl/worksheets/sheet2.xml" Id="R2d207c81c9434347" /><Relationship Type="http://schemas.openxmlformats.org/officeDocument/2006/relationships/worksheet" Target="/xl/worksheets/sheet3.xml" Id="R661119a6d5c5418d" /><Relationship Type="http://schemas.openxmlformats.org/officeDocument/2006/relationships/worksheet" Target="/xl/worksheets/sheet4.xml" Id="R601db9ba1f7f46b8" /><Relationship Type="http://schemas.openxmlformats.org/officeDocument/2006/relationships/worksheet" Target="/xl/worksheets/sheet5.xml" Id="Rebd96d3e0b36458c" /><Relationship Type="http://schemas.openxmlformats.org/officeDocument/2006/relationships/worksheet" Target="/xl/worksheets/sheet6.xml" Id="R2aac65ae30254fe4" /><Relationship Type="http://schemas.openxmlformats.org/officeDocument/2006/relationships/worksheet" Target="/xl/worksheets/sheet7.xml" Id="Rd0a9cd129b894a54" /><Relationship Type="http://schemas.openxmlformats.org/officeDocument/2006/relationships/worksheet" Target="/xl/worksheets/sheet8.xml" Id="R11336376bfcd4b36" /><Relationship Type="http://schemas.openxmlformats.org/officeDocument/2006/relationships/worksheet" Target="/xl/worksheets/sheet9.xml" Id="Raa8c489371f34c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6" hidden="0" customWidth="1"/>
    <x:col min="3" max="3" width="35" hidden="0" customWidth="1"/>
    <x:col min="4" max="4" width="17" hidden="0" customWidth="1"/>
    <x:col min="5" max="5" width="23" hidden="0" customWidth="1"/>
    <x:col min="6" max="6" width="22" hidden="0" customWidth="1"/>
    <x:col min="7" max="7" width="36" hidden="0" customWidth="1"/>
    <x:col min="8" max="8" width="36" hidden="0" customWidth="1"/>
    <x:col min="9" max="9" width="22" hidden="0" customWidth="1"/>
    <x:col min="10" max="10" width="23" hidden="0" customWidth="1"/>
    <x:col min="11" max="11" width="22" hidden="0" customWidth="1"/>
    <x:col min="12" max="12" width="22" hidden="0" customWidth="1"/>
    <x:col min="13" max="13" width="42" hidden="0" customWidth="1"/>
    <x:col min="14" max="14" width="23" hidden="0" customWidth="1"/>
    <x:col min="15" max="15" width="22" hidden="0" customWidth="1"/>
    <x:col min="16" max="16" width="23" hidden="0" customWidth="1"/>
    <x:col min="17" max="17" width="23" hidden="0" customWidth="1"/>
    <x:col min="18" max="18" width="32" hidden="0" customWidth="1"/>
  </x:cols>
  <x:sheetData>
    <x:row r="1" ht="44" customHeight="1">
      <x:c r="A1" s="6" t="str">
        <x:v>Cycle ID</x:v>
      </x:c>
      <x:c r="B1" s="6" t="str">
        <x:v>Task ID</x:v>
      </x:c>
      <x:c r="C1" s="6" t="str">
        <x:v>Task</x:v>
      </x:c>
      <x:c r="D1" s="6" t="str">
        <x:v>Assigned to</x:v>
      </x:c>
      <x:c r="E1" s="6" t="str">
        <x:v>Due at</x:v>
      </x:c>
      <x:c r="F1" s="6" t="str">
        <x:v>Status</x:v>
      </x:c>
      <x:c r="G1" s="6" t="str">
        <x:v>Proof required</x:v>
      </x:c>
      <x:c r="H1" s="6" t="str">
        <x:v>Ticket ID / update proof</x:v>
      </x:c>
      <x:c r="I1" s="6" t="str">
        <x:v>Submit</x:v>
      </x:c>
      <x:c r="J1" s="6" t="str">
        <x:v>Completed at</x:v>
      </x:c>
      <x:c r="K1" s="6" t="str">
        <x:v>Completed by</x:v>
      </x:c>
      <x:c r="L1" s="6" t="str">
        <x:v>Manager acknowledge</x:v>
      </x:c>
      <x:c r="M1" s="6" t="str">
        <x:v>Manager action / note</x:v>
      </x:c>
      <x:c r="N1" s="6" t="str">
        <x:v>Acknowledged at</x:v>
      </x:c>
      <x:c r="O1" s="6" t="str">
        <x:v>Acknowledged by</x:v>
      </x:c>
      <x:c r="P1" s="6" t="str">
        <x:v>Manager alert at</x:v>
      </x:c>
      <x:c r="Q1" s="6" t="str">
        <x:v>Leadership alert at</x:v>
      </x:c>
      <x:c r="R1" s="6" t="str">
        <x:v>Validation message</x:v>
      </x:c>
    </x:row>
    <x:row r="2" ht="44" customHeight="1">
      <x:c r="A2" s="6" t="str">
        <x:v>PORTAL-07|2026-09-30</x:v>
      </x:c>
      <x:c r="B2" s="6" t="str">
        <x:v>PORTAL-07</x:v>
      </x:c>
      <x:c r="C2" s="6" t="str">
        <x:v>Portal Task A</x:v>
      </x:c>
      <x:c r="D2" s="6" t="str">
        <x:v>Employee B</x:v>
      </x:c>
      <x:c r="E2" s="8" t="d">
        <x:v>2026-09-30T18:00:00.000Z</x:v>
      </x:c>
      <x:c r="F2" s="6" t="str">
        <x:v>Completed</x:v>
      </x:c>
      <x:c r="G2" s="6" t="str">
        <x:v>Ticket ID</x:v>
      </x:c>
      <x:c r="H2" s="6" t="str">
        <x:v>TKT-1001</x:v>
      </x:c>
      <x:c r="I2" s="7" t="b">
        <x:v>0</x:v>
      </x:c>
      <x:c r="J2" s="8" t="d">
        <x:v>2026-09-30T17:19:59.999Z</x:v>
      </x:c>
      <x:c r="K2" s="6" t="str">
        <x:v>Employee B</x:v>
      </x:c>
      <x:c r="L2" s="7" t="b">
        <x:v>0</x:v>
      </x:c>
      <x:c r="M2" s="6" t="str"/>
      <x:c r="N2" s="8"/>
      <x:c r="O2" s="6" t="str"/>
      <x:c r="P2" s="8"/>
      <x:c r="Q2" s="8"/>
      <x:c r="R2" s="6" t="str"/>
    </x:row>
    <x:row r="3" ht="44" customHeight="1">
      <x:c r="A3" s="6" t="str">
        <x:v>DEMO-OPEN|2026-10-06</x:v>
      </x:c>
      <x:c r="B3" s="6" t="str">
        <x:v>DEMO-OPEN</x:v>
      </x:c>
      <x:c r="C3" s="6" t="str">
        <x:v>Demo: unresolved after 24 hours</x:v>
      </x:c>
      <x:c r="D3" s="6" t="str">
        <x:v>Employee C</x:v>
      </x:c>
      <x:c r="E3" s="8" t="d">
        <x:v>2026-10-06T16:00:00.000Z</x:v>
      </x:c>
      <x:c r="F3" s="6" t="str">
        <x:v>Overdue</x:v>
      </x:c>
      <x:c r="G3" s="6" t="str">
        <x:v>Ticket ID</x:v>
      </x:c>
      <x:c r="H3" s="6" t="str"/>
      <x:c r="I3" s="7" t="b">
        <x:v>0</x:v>
      </x:c>
      <x:c r="J3" s="8"/>
      <x:c r="K3" s="6" t="str"/>
      <x:c r="L3" s="7" t="b">
        <x:v>1</x:v>
      </x:c>
      <x:c r="M3" s="6" t="str">
        <x:v>Spoke to employee. Portal access issue being checked.</x:v>
      </x:c>
      <x:c r="N3" s="8" t="d">
        <x:v>2026-10-06T17:00:00.000Z</x:v>
      </x:c>
      <x:c r="O3" s="6" t="str">
        <x:v>manager@example.com</x:v>
      </x:c>
      <x:c r="P3" s="8" t="d">
        <x:v>2026-10-06T16:01:00.000Z</x:v>
      </x:c>
      <x:c r="Q3" s="8" t="d">
        <x:v>2026-10-07T17:00:00.000Z</x:v>
      </x:c>
      <x:c r="R3" s="6" t="str"/>
    </x:row>
    <x:row r="4" ht="44" customHeight="1">
      <x:c r="A4" s="6" t="str">
        <x:v>DEMO-ACK|2026-10-07</x:v>
      </x:c>
      <x:c r="B4" s="6" t="str">
        <x:v>DEMO-ACK</x:v>
      </x:c>
      <x:c r="C4" s="6" t="str">
        <x:v>Demo: manager review missed</x:v>
      </x:c>
      <x:c r="D4" s="6" t="str">
        <x:v>Employee B</x:v>
      </x:c>
      <x:c r="E4" s="8" t="d">
        <x:v>2026-10-07T14:00:00.000Z</x:v>
      </x:c>
      <x:c r="F4" s="6" t="str">
        <x:v>Overdue</x:v>
      </x:c>
      <x:c r="G4" s="6" t="str">
        <x:v>Ticket ID</x:v>
      </x:c>
      <x:c r="H4" s="6" t="str"/>
      <x:c r="I4" s="7" t="b">
        <x:v>0</x:v>
      </x:c>
      <x:c r="J4" s="8"/>
      <x:c r="K4" s="6" t="str"/>
      <x:c r="L4" s="7" t="b">
        <x:v>0</x:v>
      </x:c>
      <x:c r="M4" s="6" t="str"/>
      <x:c r="N4" s="8"/>
      <x:c r="O4" s="6" t="str"/>
      <x:c r="P4" s="8" t="d">
        <x:v>2026-10-07T14:01:00.000Z</x:v>
      </x:c>
      <x:c r="Q4" s="8" t="d">
        <x:v>2026-10-07T17:00:00.000Z</x:v>
      </x:c>
      <x:c r="R4" s="6" t="str"/>
    </x:row>
    <x:row r="5" ht="44" customHeight="1">
      <x:c r="A5" s="6" t="str">
        <x:v>DAILY-01|2026-10-07</x:v>
      </x:c>
      <x:c r="B5" s="6" t="str">
        <x:v>DAILY-01</x:v>
      </x:c>
      <x:c r="C5" s="6" t="str">
        <x:v>Daily Operations Update</x:v>
      </x:c>
      <x:c r="D5" s="6" t="str">
        <x:v>Employee A</x:v>
      </x:c>
      <x:c r="E5" s="8" t="d">
        <x:v>2026-10-07T18:00:00.000Z</x:v>
      </x:c>
      <x:c r="F5" s="6" t="str">
        <x:v>Due</x:v>
      </x:c>
      <x:c r="G5" s="6" t="str">
        <x:v>WhatsApp update text or screenshot link</x:v>
      </x:c>
      <x:c r="H5" s="6" t="str"/>
      <x:c r="I5" s="7" t="b">
        <x:v>0</x:v>
      </x:c>
      <x:c r="J5" s="8"/>
      <x:c r="K5" s="6" t="str"/>
      <x:c r="L5" s="7" t="b">
        <x:v>0</x:v>
      </x:c>
      <x:c r="M5" s="6" t="str"/>
      <x:c r="N5" s="8"/>
      <x:c r="O5" s="6" t="str"/>
      <x:c r="P5" s="8"/>
      <x:c r="Q5" s="8"/>
      <x:c r="R5" s="6" t="str"/>
    </x:row>
    <x:row r="6" ht="44" customHeight="1">
      <x:c r="A6" s="6" t="str">
        <x:v>PORTAL-07|2026-10-07</x:v>
      </x:c>
      <x:c r="B6" s="6" t="str">
        <x:v>PORTAL-07</x:v>
      </x:c>
      <x:c r="C6" s="6" t="str">
        <x:v>Portal Task A</x:v>
      </x:c>
      <x:c r="D6" s="6" t="str">
        <x:v>Employee B</x:v>
      </x:c>
      <x:c r="E6" s="8" t="d">
        <x:v>2026-10-07T18:00:00.000Z</x:v>
      </x:c>
      <x:c r="F6" s="6" t="str">
        <x:v>Due</x:v>
      </x:c>
      <x:c r="G6" s="6" t="str">
        <x:v>Ticket ID</x:v>
      </x:c>
      <x:c r="H6" s="6" t="str"/>
      <x:c r="I6" s="7" t="b">
        <x:v>0</x:v>
      </x:c>
      <x:c r="J6" s="8"/>
      <x:c r="K6" s="6" t="str"/>
      <x:c r="L6" s="7" t="b">
        <x:v>0</x:v>
      </x:c>
      <x:c r="M6" s="6" t="str"/>
      <x:c r="N6" s="8"/>
      <x:c r="O6" s="6" t="str"/>
      <x:c r="P6" s="8"/>
      <x:c r="Q6" s="8"/>
      <x:c r="R6" s="6" t="str"/>
    </x:row>
    <x:row r="7" ht="44" customHeight="1">
      <x:c r="A7" s="6" t="str">
        <x:v>PORTAL-15|2026-10-07</x:v>
      </x:c>
      <x:c r="B7" s="6" t="str">
        <x:v>PORTAL-15</x:v>
      </x:c>
      <x:c r="C7" s="6" t="str">
        <x:v>Portal Task B</x:v>
      </x:c>
      <x:c r="D7" s="6" t="str">
        <x:v>Employee C</x:v>
      </x:c>
      <x:c r="E7" s="8" t="d">
        <x:v>2026-10-07T18:00:00.000Z</x:v>
      </x:c>
      <x:c r="F7" s="6" t="str">
        <x:v>Due</x:v>
      </x:c>
      <x:c r="G7" s="6" t="str">
        <x:v>Ticket ID</x:v>
      </x:c>
      <x:c r="H7" s="6" t="str"/>
      <x:c r="I7" s="7" t="b">
        <x:v>0</x:v>
      </x:c>
      <x:c r="J7" s="8"/>
      <x:c r="K7" s="6" t="str"/>
      <x:c r="L7" s="7" t="b">
        <x:v>0</x:v>
      </x:c>
      <x:c r="M7" s="6" t="str"/>
      <x:c r="N7" s="8"/>
      <x:c r="O7" s="6" t="str"/>
      <x:c r="P7" s="8"/>
      <x:c r="Q7" s="8"/>
      <x:c r="R7" s="6" t="str"/>
    </x:row>
    <x:row r="8" ht="44" customHeight="1">
      <x:c r="A8" s="6" t="str">
        <x:v>PORTAL-30|2026-10-07</x:v>
      </x:c>
      <x:c r="B8" s="6" t="str">
        <x:v>PORTAL-30</x:v>
      </x:c>
      <x:c r="C8" s="6" t="str">
        <x:v>Portal Task C</x:v>
      </x:c>
      <x:c r="D8" s="6" t="str">
        <x:v>Employee D</x:v>
      </x:c>
      <x:c r="E8" s="8" t="d">
        <x:v>2026-10-07T18:00:00.000Z</x:v>
      </x:c>
      <x:c r="F8" s="6" t="str">
        <x:v>Due</x:v>
      </x:c>
      <x:c r="G8" s="6" t="str">
        <x:v>Ticket ID</x:v>
      </x:c>
      <x:c r="H8" s="6" t="str"/>
      <x:c r="I8" s="7" t="b">
        <x:v>0</x:v>
      </x:c>
      <x:c r="J8" s="8"/>
      <x:c r="K8" s="6" t="str"/>
      <x:c r="L8" s="7" t="b">
        <x:v>0</x:v>
      </x:c>
      <x:c r="M8" s="6" t="str"/>
      <x:c r="N8" s="8"/>
      <x:c r="O8" s="6" t="str"/>
      <x:c r="P8" s="8"/>
      <x:c r="Q8" s="8"/>
      <x:c r="R8" s="6" t="str"/>
    </x:row>
    <x:row r="9" ht="44" customHeight="1">
      <x:c r="A9" s="6" t="str">
        <x:v>DAILY-01|2026-10-08</x:v>
      </x:c>
      <x:c r="B9" s="6" t="str">
        <x:v>DAILY-01</x:v>
      </x:c>
      <x:c r="C9" s="6" t="str">
        <x:v>Daily Operations Update</x:v>
      </x:c>
      <x:c r="D9" s="6" t="str">
        <x:v>Employee A</x:v>
      </x:c>
      <x:c r="E9" s="8" t="d">
        <x:v>2026-10-08T18:00:00.000Z</x:v>
      </x:c>
      <x:c r="F9" s="6" t="str">
        <x:v>Upcoming</x:v>
      </x:c>
      <x:c r="G9" s="6" t="str">
        <x:v>WhatsApp update text or screenshot link</x:v>
      </x:c>
      <x:c r="H9" s="6" t="str"/>
      <x:c r="I9" s="7" t="b">
        <x:v>0</x:v>
      </x:c>
      <x:c r="J9" s="8"/>
      <x:c r="K9" s="6" t="str"/>
      <x:c r="L9" s="7" t="b">
        <x:v>0</x:v>
      </x:c>
      <x:c r="M9" s="6" t="str"/>
      <x:c r="N9" s="8"/>
      <x:c r="O9" s="6" t="str"/>
      <x:c r="P9" s="8"/>
      <x:c r="Q9" s="8"/>
      <x:c r="R9" s="6" t="str"/>
    </x:row>
    <x:row r="10" ht="44" customHeight="1">
      <x:c r="A10" s="6" t="str">
        <x:v>DEMO-ACK|2026-10-14</x:v>
      </x:c>
      <x:c r="B10" s="6" t="str">
        <x:v>DEMO-ACK</x:v>
      </x:c>
      <x:c r="C10" s="6" t="str">
        <x:v>Demo: manager review missed</x:v>
      </x:c>
      <x:c r="D10" s="6" t="str">
        <x:v>Employee B</x:v>
      </x:c>
      <x:c r="E10" s="8" t="d">
        <x:v>2026-10-14T14:00:00.000Z</x:v>
      </x:c>
      <x:c r="F10" s="6" t="str">
        <x:v>Upcoming</x:v>
      </x:c>
      <x:c r="G10" s="6" t="str">
        <x:v>Ticket ID</x:v>
      </x:c>
      <x:c r="H10" s="6" t="str"/>
      <x:c r="I10" s="7" t="b">
        <x:v>0</x:v>
      </x:c>
      <x:c r="J10" s="8"/>
      <x:c r="K10" s="6" t="str"/>
      <x:c r="L10" s="7" t="b">
        <x:v>0</x:v>
      </x:c>
      <x:c r="M10" s="6" t="str"/>
      <x:c r="N10" s="8"/>
      <x:c r="O10" s="6" t="str"/>
      <x:c r="P10" s="8"/>
      <x:c r="Q10" s="8"/>
      <x:c r="R10" s="6" t="str"/>
    </x:row>
    <x:row r="11" ht="44" customHeight="1">
      <x:c r="A11" s="6" t="str">
        <x:v>PORTAL-07|2026-10-14</x:v>
      </x:c>
      <x:c r="B11" s="6" t="str">
        <x:v>PORTAL-07</x:v>
      </x:c>
      <x:c r="C11" s="6" t="str">
        <x:v>Portal Task A</x:v>
      </x:c>
      <x:c r="D11" s="6" t="str">
        <x:v>Employee B</x:v>
      </x:c>
      <x:c r="E11" s="8" t="d">
        <x:v>2026-10-14T18:00:00.000Z</x:v>
      </x:c>
      <x:c r="F11" s="6" t="str">
        <x:v>Upcoming</x:v>
      </x:c>
      <x:c r="G11" s="6" t="str">
        <x:v>Ticket ID</x:v>
      </x:c>
      <x:c r="H11" s="6" t="str"/>
      <x:c r="I11" s="7" t="b">
        <x:v>0</x:v>
      </x:c>
      <x:c r="J11" s="8"/>
      <x:c r="K11" s="6" t="str"/>
      <x:c r="L11" s="7" t="b">
        <x:v>0</x:v>
      </x:c>
      <x:c r="M11" s="6" t="str"/>
      <x:c r="N11" s="8"/>
      <x:c r="O11" s="6" t="str"/>
      <x:c r="P11" s="8"/>
      <x:c r="Q11" s="8"/>
      <x:c r="R11" s="6" t="str"/>
    </x:row>
    <x:row r="12" ht="44" customHeight="1">
      <x:c r="A12" s="6" t="str">
        <x:v>DEMO-OPEN|2026-10-21</x:v>
      </x:c>
      <x:c r="B12" s="6" t="str">
        <x:v>DEMO-OPEN</x:v>
      </x:c>
      <x:c r="C12" s="6" t="str">
        <x:v>Demo: unresolved after 24 hours</x:v>
      </x:c>
      <x:c r="D12" s="6" t="str">
        <x:v>Employee C</x:v>
      </x:c>
      <x:c r="E12" s="8" t="d">
        <x:v>2026-10-21T16:00:00.000Z</x:v>
      </x:c>
      <x:c r="F12" s="6" t="str">
        <x:v>Upcoming</x:v>
      </x:c>
      <x:c r="G12" s="6" t="str">
        <x:v>Ticket ID</x:v>
      </x:c>
      <x:c r="H12" s="6" t="str"/>
      <x:c r="I12" s="7" t="b">
        <x:v>0</x:v>
      </x:c>
      <x:c r="J12" s="8"/>
      <x:c r="K12" s="6" t="str"/>
      <x:c r="L12" s="7" t="b">
        <x:v>0</x:v>
      </x:c>
      <x:c r="M12" s="6" t="str"/>
      <x:c r="N12" s="8"/>
      <x:c r="O12" s="6" t="str"/>
      <x:c r="P12" s="8"/>
      <x:c r="Q12" s="8"/>
      <x:c r="R12" s="6" t="str"/>
    </x:row>
    <x:row r="13" ht="44" customHeight="1">
      <x:c r="A13" s="6" t="str">
        <x:v>PORTAL-15|2026-10-22</x:v>
      </x:c>
      <x:c r="B13" s="6" t="str">
        <x:v>PORTAL-15</x:v>
      </x:c>
      <x:c r="C13" s="6" t="str">
        <x:v>Portal Task B</x:v>
      </x:c>
      <x:c r="D13" s="6" t="str">
        <x:v>Employee C</x:v>
      </x:c>
      <x:c r="E13" s="8" t="d">
        <x:v>2026-10-22T18:00:00.000Z</x:v>
      </x:c>
      <x:c r="F13" s="6" t="str">
        <x:v>Upcoming</x:v>
      </x:c>
      <x:c r="G13" s="6" t="str">
        <x:v>Ticket ID</x:v>
      </x:c>
      <x:c r="H13" s="6" t="str"/>
      <x:c r="I13" s="7" t="b">
        <x:v>0</x:v>
      </x:c>
      <x:c r="J13" s="8"/>
      <x:c r="K13" s="6" t="str"/>
      <x:c r="L13" s="7" t="b">
        <x:v>0</x:v>
      </x:c>
      <x:c r="M13" s="6" t="str"/>
      <x:c r="N13" s="8"/>
      <x:c r="O13" s="6" t="str"/>
      <x:c r="P13" s="8"/>
      <x:c r="Q13" s="8"/>
      <x:c r="R13" s="6" t="str"/>
    </x:row>
    <x:row r="14" ht="44" customHeight="1">
      <x:c r="A14" s="6" t="str">
        <x:v>PORTAL-30|2026-11-06</x:v>
      </x:c>
      <x:c r="B14" s="6" t="str">
        <x:v>PORTAL-30</x:v>
      </x:c>
      <x:c r="C14" s="6" t="str">
        <x:v>Portal Task C</x:v>
      </x:c>
      <x:c r="D14" s="6" t="str">
        <x:v>Employee D</x:v>
      </x:c>
      <x:c r="E14" s="8" t="d">
        <x:v>2026-11-06T18:00:00.000Z</x:v>
      </x:c>
      <x:c r="F14" s="6" t="str">
        <x:v>Upcoming</x:v>
      </x:c>
      <x:c r="G14" s="6" t="str">
        <x:v>Ticket ID</x:v>
      </x:c>
      <x:c r="H14" s="6" t="str"/>
      <x:c r="I14" s="7" t="b">
        <x:v>0</x:v>
      </x:c>
      <x:c r="J14" s="8"/>
      <x:c r="K14" s="6" t="str"/>
      <x:c r="L14" s="7" t="b">
        <x:v>0</x:v>
      </x:c>
      <x:c r="M14" s="6" t="str"/>
      <x:c r="N14" s="8"/>
      <x:c r="O14" s="6" t="str"/>
      <x:c r="P14" s="8"/>
      <x:c r="Q14" s="8"/>
      <x:c r="R14" s="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36" hidden="0" customWidth="1"/>
    <x:col min="8" max="8" width="36" hidden="0" customWidth="1"/>
    <x:col min="9" max="9" width="22" hidden="0" customWidth="1"/>
    <x:col min="10" max="10" width="23" hidden="0" customWidth="1"/>
    <x:col min="11" max="11" width="22" hidden="0" customWidth="1"/>
    <x:col min="12" max="12" width="22" hidden="0" customWidth="1"/>
    <x:col min="13" max="13" width="42" hidden="0" customWidth="1"/>
    <x:col min="14" max="14" width="23" hidden="0" customWidth="1"/>
    <x:col min="15" max="15" width="22" hidden="0" customWidth="1"/>
    <x:col min="16" max="16" width="23" hidden="0" customWidth="1"/>
    <x:col min="17" max="17" width="23" hidden="0" customWidth="1"/>
    <x:col min="18" max="18" width="32" hidden="0" customWidth="1"/>
  </x:cols>
  <x:sheetData>
    <x:row r="1" ht="44" customHeight="1">
      <x:c r="A1" s="6" t="str">
        <x:v>Assigned to</x:v>
      </x:c>
      <x:c r="B1" s="6" t="str">
        <x:v>Due</x:v>
      </x:c>
      <x:c r="C1" s="6" t="str">
        <x:v>Overdue</x:v>
      </x:c>
      <x:c r="D1" s="6" t="str">
        <x:v>Completed</x:v>
      </x:c>
      <x:c r="E1" s="6" t="str">
        <x:v>Manager review outstanding</x:v>
      </x:c>
      <x:c r="F1" s="6" t="str">
        <x:v>Leadership alerted</x:v>
      </x:c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</x:row>
    <x:row r="2" ht="44" customHeight="1">
      <x:c r="A2" s="6" t="str">
        <x:v>Employee A</x:v>
      </x:c>
      <x:c r="B2" s="6" t="n">
        <x:f>COUNTIFS('Employee Tasks'!$D$2:$D$5000,$A2,'Employee Tasks'!$F$2:$F$5000,"Due")</x:f>
        <x:v>1</x:v>
      </x:c>
      <x:c r="C2" s="6" t="n">
        <x:f>COUNTIFS('Employee Tasks'!$D$2:$D$5000,$A2,'Employee Tasks'!$F$2:$F$5000,"Overdue")</x:f>
        <x:v>0</x:v>
      </x:c>
      <x:c r="D2" s="6" t="n">
        <x:f>COUNTIFS('Employee Tasks'!$D$2:$D$5000,$A2,'Employee Tasks'!$F$2:$F$5000,"Completed")</x:f>
        <x:v>0</x:v>
      </x:c>
      <x:c r="E2" s="6" t="n">
        <x:f>C2-COUNTIFS('Employee Tasks'!$D$2:$D$5000,$A2,'Employee Tasks'!$F$2:$F$5000,"Overdue",'Employee Tasks'!$N$2:$N$5000,"&gt;0")</x:f>
        <x:v>0</x:v>
      </x:c>
      <x:c r="F2" s="6" t="n">
        <x:f>COUNTIFS('Employee Tasks'!$D$2:$D$5000,$A2,'Employee Tasks'!$F$2:$F$5000,"Overdue",'Employee Tasks'!$Q$2:$Q$5000,"&gt;0")</x:f>
        <x:v>0</x:v>
      </x:c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</x:row>
    <x:row r="3" ht="44" customHeight="1">
      <x:c r="A3" s="6" t="str">
        <x:v>Employee B</x:v>
      </x:c>
      <x:c r="B3" s="6" t="n">
        <x:f>COUNTIFS('Employee Tasks'!$D$2:$D$5000,$A3,'Employee Tasks'!$F$2:$F$5000,"Due")</x:f>
        <x:v>1</x:v>
      </x:c>
      <x:c r="C3" s="6" t="n">
        <x:f>COUNTIFS('Employee Tasks'!$D$2:$D$5000,$A3,'Employee Tasks'!$F$2:$F$5000,"Overdue")</x:f>
        <x:v>1</x:v>
      </x:c>
      <x:c r="D3" s="6" t="n">
        <x:f>COUNTIFS('Employee Tasks'!$D$2:$D$5000,$A3,'Employee Tasks'!$F$2:$F$5000,"Completed")</x:f>
        <x:v>1</x:v>
      </x:c>
      <x:c r="E3" s="6" t="n">
        <x:f>C3-COUNTIFS('Employee Tasks'!$D$2:$D$5000,$A3,'Employee Tasks'!$F$2:$F$5000,"Overdue",'Employee Tasks'!$N$2:$N$5000,"&gt;0")</x:f>
        <x:v>1</x:v>
      </x:c>
      <x:c r="F3" s="6" t="n">
        <x:f>COUNTIFS('Employee Tasks'!$D$2:$D$5000,$A3,'Employee Tasks'!$F$2:$F$5000,"Overdue",'Employee Tasks'!$Q$2:$Q$5000,"&gt;0")</x:f>
        <x:v>1</x:v>
      </x:c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</x:row>
    <x:row r="4" ht="44" customHeight="1">
      <x:c r="A4" s="6" t="str">
        <x:v>Employee C</x:v>
      </x:c>
      <x:c r="B4" s="6" t="n">
        <x:f>COUNTIFS('Employee Tasks'!$D$2:$D$5000,$A4,'Employee Tasks'!$F$2:$F$5000,"Due")</x:f>
        <x:v>1</x:v>
      </x:c>
      <x:c r="C4" s="6" t="n">
        <x:f>COUNTIFS('Employee Tasks'!$D$2:$D$5000,$A4,'Employee Tasks'!$F$2:$F$5000,"Overdue")</x:f>
        <x:v>1</x:v>
      </x:c>
      <x:c r="D4" s="6" t="n">
        <x:f>COUNTIFS('Employee Tasks'!$D$2:$D$5000,$A4,'Employee Tasks'!$F$2:$F$5000,"Completed")</x:f>
        <x:v>0</x:v>
      </x:c>
      <x:c r="E4" s="6" t="n">
        <x:f>C4-COUNTIFS('Employee Tasks'!$D$2:$D$5000,$A4,'Employee Tasks'!$F$2:$F$5000,"Overdue",'Employee Tasks'!$N$2:$N$5000,"&gt;0")</x:f>
        <x:v>0</x:v>
      </x:c>
      <x:c r="F4" s="6" t="n">
        <x:f>COUNTIFS('Employee Tasks'!$D$2:$D$5000,$A4,'Employee Tasks'!$F$2:$F$5000,"Overdue",'Employee Tasks'!$Q$2:$Q$5000,"&gt;0")</x:f>
        <x:v>1</x:v>
      </x:c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</x:row>
    <x:row r="5" ht="44" customHeight="1">
      <x:c r="A5" s="6" t="str">
        <x:v>Employee D</x:v>
      </x:c>
      <x:c r="B5" s="6" t="n">
        <x:f>COUNTIFS('Employee Tasks'!$D$2:$D$5000,$A5,'Employee Tasks'!$F$2:$F$5000,"Due")</x:f>
        <x:v>1</x:v>
      </x:c>
      <x:c r="C5" s="6" t="n">
        <x:f>COUNTIFS('Employee Tasks'!$D$2:$D$5000,$A5,'Employee Tasks'!$F$2:$F$5000,"Overdue")</x:f>
        <x:v>0</x:v>
      </x:c>
      <x:c r="D5" s="6" t="n">
        <x:f>COUNTIFS('Employee Tasks'!$D$2:$D$5000,$A5,'Employee Tasks'!$F$2:$F$5000,"Completed")</x:f>
        <x:v>0</x:v>
      </x:c>
      <x:c r="E5" s="6" t="n">
        <x:f>C5-COUNTIFS('Employee Tasks'!$D$2:$D$5000,$A5,'Employee Tasks'!$F$2:$F$5000,"Overdue",'Employee Tasks'!$N$2:$N$5000,"&gt;0")</x:f>
        <x:v>0</x:v>
      </x:c>
      <x:c r="F5" s="6" t="n">
        <x:f>COUNTIFS('Employee Tasks'!$D$2:$D$5000,$A5,'Employee Tasks'!$F$2:$F$5000,"Overdue",'Employee Tasks'!$Q$2:$Q$5000,"&gt;0")</x:f>
        <x:v>0</x:v>
      </x:c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</x:row>
    <x:row r="6" ht="44" customHeight="1">
      <x:c r="A6" s="6" t="str">
        <x:v>Total</x:v>
      </x:c>
      <x:c r="B6" s="6" t="n">
        <x:f>SUM(B2:B5)</x:f>
        <x:v>4</x:v>
      </x:c>
      <x:c r="C6" s="6" t="n">
        <x:f>SUM(C2:C5)</x:f>
        <x:v>2</x:v>
      </x:c>
      <x:c r="D6" s="6" t="n">
        <x:f>SUM(D2:D5)</x:f>
        <x:v>1</x:v>
      </x:c>
      <x:c r="E6" s="6" t="n">
        <x:f>SUM(E2:E5)</x:f>
        <x:v>1</x:v>
      </x:c>
      <x:c r="F6" s="6" t="n">
        <x:f>SUM(F2:F5)</x:f>
        <x:v>2</x:v>
      </x:c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</x:row>
    <x:row r="7" ht="58" customHeight="1">
      <x:c r="A7" s="6" t="str">
        <x:v>Acknowledge in Employee Tasks columns L and M.</x:v>
      </x:c>
      <x:c r="B7" s="6" t="str">
        <x:v>Find the matching Cycle ID.</x:v>
      </x:c>
      <x:c r="C7" s="6" t="str">
        <x:v>Enter manager action in M.</x:v>
      </x:c>
      <x:c r="D7" s="6" t="str">
        <x:v>Tick acknowledgement in L.</x:v>
      </x:c>
      <x:c r="E7" s="6" t="str">
        <x:v>Task stays open until completed.</x:v>
      </x:c>
      <x:c r="F7" s="6" t="str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</x:row>
    <x:row r="8" ht="58" customHeight="1">
      <x:c r="A8" s="6" t="str">
        <x:v>Saved demo detail below.</x:v>
      </x:c>
      <x:c r="B8" s="6" t="str">
        <x:v>Google setup replaces it</x:v>
      </x:c>
      <x:c r="C8" s="6" t="str">
        <x:v>with a live overdue view.</x:v>
      </x:c>
      <x:c r="D8" s="6" t="str"/>
      <x:c r="E8" s="6" t="str"/>
      <x:c r="F8" s="6" t="str"/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6"/>
      <x:c r="R8" s="6"/>
    </x:row>
    <x:row r="9" ht="44" customHeight="1">
      <x:c r="A9" s="6" t="str">
        <x:v>Cycle ID</x:v>
      </x:c>
      <x:c r="B9" s="6" t="str">
        <x:v>Task ID</x:v>
      </x:c>
      <x:c r="C9" s="6" t="str">
        <x:v>Task</x:v>
      </x:c>
      <x:c r="D9" s="6" t="str">
        <x:v>Assigned to</x:v>
      </x:c>
      <x:c r="E9" s="6" t="str">
        <x:v>Due at</x:v>
      </x:c>
      <x:c r="F9" s="6" t="str">
        <x:v>Status</x:v>
      </x:c>
      <x:c r="G9" s="6" t="str">
        <x:v>Proof required</x:v>
      </x:c>
      <x:c r="H9" s="6" t="str">
        <x:v>Ticket ID / update proof</x:v>
      </x:c>
      <x:c r="I9" s="6" t="str">
        <x:v>Submit</x:v>
      </x:c>
      <x:c r="J9" s="6" t="str">
        <x:v>Completed at</x:v>
      </x:c>
      <x:c r="K9" s="6" t="str">
        <x:v>Completed by</x:v>
      </x:c>
      <x:c r="L9" s="6" t="str">
        <x:v>Manager acknowledge</x:v>
      </x:c>
      <x:c r="M9" s="6" t="str">
        <x:v>Manager action / note</x:v>
      </x:c>
      <x:c r="N9" s="6" t="str">
        <x:v>Acknowledged at</x:v>
      </x:c>
      <x:c r="O9" s="6" t="str">
        <x:v>Acknowledged by</x:v>
      </x:c>
      <x:c r="P9" s="6" t="str">
        <x:v>Manager alert at</x:v>
      </x:c>
      <x:c r="Q9" s="6" t="str">
        <x:v>Leadership alert at</x:v>
      </x:c>
      <x:c r="R9" s="6" t="str">
        <x:v>Validation message</x:v>
      </x:c>
    </x:row>
    <x:row r="10" ht="44" customHeight="1">
      <x:c r="A10" s="6" t="str">
        <x:v>DEMO-OPEN|2026-10-06</x:v>
      </x:c>
      <x:c r="B10" s="6" t="str">
        <x:v>DEMO-OPEN</x:v>
      </x:c>
      <x:c r="C10" s="6" t="str">
        <x:v>Demo: unresolved after 24 hours</x:v>
      </x:c>
      <x:c r="D10" s="6" t="str">
        <x:v>Employee C</x:v>
      </x:c>
      <x:c r="E10" s="8" t="d">
        <x:v>2026-10-06T16:00:00.000Z</x:v>
      </x:c>
      <x:c r="F10" s="6" t="str">
        <x:v>Overdue</x:v>
      </x:c>
      <x:c r="G10" s="6" t="str">
        <x:v>Ticket ID</x:v>
      </x:c>
      <x:c r="H10" s="6" t="str"/>
      <x:c r="I10" s="7" t="b">
        <x:v>0</x:v>
      </x:c>
      <x:c r="J10" s="8"/>
      <x:c r="K10" s="6" t="str"/>
      <x:c r="L10" s="7" t="b">
        <x:v>1</x:v>
      </x:c>
      <x:c r="M10" s="6" t="str">
        <x:v>Spoke to employee. Portal access issue being checked.</x:v>
      </x:c>
      <x:c r="N10" s="8" t="d">
        <x:v>2026-10-06T17:00:00.000Z</x:v>
      </x:c>
      <x:c r="O10" s="6" t="str">
        <x:v>manager@example.com</x:v>
      </x:c>
      <x:c r="P10" s="8" t="d">
        <x:v>2026-10-06T16:01:00.000Z</x:v>
      </x:c>
      <x:c r="Q10" s="8" t="d">
        <x:v>2026-10-07T17:00:00.000Z</x:v>
      </x:c>
      <x:c r="R10" s="6" t="str"/>
    </x:row>
    <x:row r="11" ht="44" customHeight="1">
      <x:c r="A11" s="6" t="str">
        <x:v>DEMO-ACK|2026-10-07</x:v>
      </x:c>
      <x:c r="B11" s="6" t="str">
        <x:v>DEMO-ACK</x:v>
      </x:c>
      <x:c r="C11" s="6" t="str">
        <x:v>Demo: manager review missed</x:v>
      </x:c>
      <x:c r="D11" s="6" t="str">
        <x:v>Employee B</x:v>
      </x:c>
      <x:c r="E11" s="8" t="d">
        <x:v>2026-10-07T14:00:00.000Z</x:v>
      </x:c>
      <x:c r="F11" s="6" t="str">
        <x:v>Overdue</x:v>
      </x:c>
      <x:c r="G11" s="6" t="str">
        <x:v>Ticket ID</x:v>
      </x:c>
      <x:c r="H11" s="6" t="str"/>
      <x:c r="I11" s="7" t="b">
        <x:v>0</x:v>
      </x:c>
      <x:c r="J11" s="8"/>
      <x:c r="K11" s="6" t="str"/>
      <x:c r="L11" s="7" t="b">
        <x:v>0</x:v>
      </x:c>
      <x:c r="M11" s="6" t="str"/>
      <x:c r="N11" s="8"/>
      <x:c r="O11" s="6" t="str"/>
      <x:c r="P11" s="8" t="d">
        <x:v>2026-10-07T14:01:00.000Z</x:v>
      </x:c>
      <x:c r="Q11" s="8" t="d">
        <x:v>2026-10-07T17:00:00.000Z</x:v>
      </x:c>
      <x:c r="R11" s="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6" hidden="0" customWidth="1"/>
    <x:col min="3" max="3" width="22" hidden="0" customWidth="1"/>
    <x:col min="4" max="4" width="3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40" hidden="0" customWidth="1"/>
    <x:col min="10" max="10" width="22" hidden="0" customWidth="1"/>
  </x:cols>
  <x:sheetData>
    <x:row r="1" ht="42" customHeight="1">
      <x:c r="A1" s="6" t="str">
        <x:v>Task ID</x:v>
      </x:c>
      <x:c r="B1" s="6" t="str">
        <x:v>Task</x:v>
      </x:c>
      <x:c r="C1" s="6" t="str">
        <x:v>Assigned to</x:v>
      </x:c>
      <x:c r="D1" s="6" t="str">
        <x:v>Employee email</x:v>
      </x:c>
      <x:c r="E1" s="6" t="str">
        <x:v>Frequency</x:v>
      </x:c>
      <x:c r="F1" s="6" t="str">
        <x:v>Period days</x:v>
      </x:c>
      <x:c r="G1" s="6" t="str">
        <x:v>First due date</x:v>
      </x:c>
      <x:c r="H1" s="6" t="str">
        <x:v>Due time</x:v>
      </x:c>
      <x:c r="I1" s="6" t="str">
        <x:v>Proof required</x:v>
      </x:c>
      <x:c r="J1" s="6" t="str">
        <x:v>Active</x:v>
      </x:c>
    </x:row>
    <x:row r="2" ht="42" customHeight="1">
      <x:c r="A2" s="6" t="str">
        <x:v>DAILY-01</x:v>
      </x:c>
      <x:c r="B2" s="6" t="str">
        <x:v>Daily Operations Update</x:v>
      </x:c>
      <x:c r="C2" s="6" t="str">
        <x:v>Employee A</x:v>
      </x:c>
      <x:c r="D2" s="6" t="str">
        <x:v>employee.a@example.com</x:v>
      </x:c>
      <x:c r="E2" s="6" t="str">
        <x:v>Daily</x:v>
      </x:c>
      <x:c r="F2" s="6" t="n">
        <x:v>1</x:v>
      </x:c>
      <x:c r="G2" s="10" t="d">
        <x:v>2026-10-07T00:00:00.000Z</x:v>
      </x:c>
      <x:c r="H2" s="6" t="str">
        <x:v>18:00</x:v>
      </x:c>
      <x:c r="I2" s="6" t="str">
        <x:v>WhatsApp update text or screenshot link</x:v>
      </x:c>
      <x:c r="J2" s="7" t="b">
        <x:v>1</x:v>
      </x:c>
    </x:row>
    <x:row r="3" ht="42" customHeight="1">
      <x:c r="A3" s="6" t="str">
        <x:v>PORTAL-07</x:v>
      </x:c>
      <x:c r="B3" s="6" t="str">
        <x:v>Portal Task A</x:v>
      </x:c>
      <x:c r="C3" s="6" t="str">
        <x:v>Employee B</x:v>
      </x:c>
      <x:c r="D3" s="6" t="str">
        <x:v>employee.b@example.com</x:v>
      </x:c>
      <x:c r="E3" s="6" t="str">
        <x:v>Every 7 days</x:v>
      </x:c>
      <x:c r="F3" s="6" t="n">
        <x:v>7</x:v>
      </x:c>
      <x:c r="G3" s="10" t="d">
        <x:v>2026-09-30T00:00:00.000Z</x:v>
      </x:c>
      <x:c r="H3" s="6" t="str">
        <x:v>18:00</x:v>
      </x:c>
      <x:c r="I3" s="6" t="str">
        <x:v>Ticket ID</x:v>
      </x:c>
      <x:c r="J3" s="7" t="b">
        <x:v>1</x:v>
      </x:c>
    </x:row>
    <x:row r="4" ht="42" customHeight="1">
      <x:c r="A4" s="6" t="str">
        <x:v>PORTAL-15</x:v>
      </x:c>
      <x:c r="B4" s="6" t="str">
        <x:v>Portal Task B</x:v>
      </x:c>
      <x:c r="C4" s="6" t="str">
        <x:v>Employee C</x:v>
      </x:c>
      <x:c r="D4" s="6" t="str">
        <x:v>employee.c@example.com</x:v>
      </x:c>
      <x:c r="E4" s="6" t="str">
        <x:v>Every 15 days</x:v>
      </x:c>
      <x:c r="F4" s="6" t="n">
        <x:v>15</x:v>
      </x:c>
      <x:c r="G4" s="10" t="d">
        <x:v>2026-10-07T00:00:00.000Z</x:v>
      </x:c>
      <x:c r="H4" s="6" t="str">
        <x:v>18:00</x:v>
      </x:c>
      <x:c r="I4" s="6" t="str">
        <x:v>Ticket ID</x:v>
      </x:c>
      <x:c r="J4" s="7" t="b">
        <x:v>1</x:v>
      </x:c>
    </x:row>
    <x:row r="5" ht="42" customHeight="1">
      <x:c r="A5" s="6" t="str">
        <x:v>PORTAL-30</x:v>
      </x:c>
      <x:c r="B5" s="6" t="str">
        <x:v>Portal Task C</x:v>
      </x:c>
      <x:c r="C5" s="6" t="str">
        <x:v>Employee D</x:v>
      </x:c>
      <x:c r="D5" s="6" t="str">
        <x:v>employee.d@example.com</x:v>
      </x:c>
      <x:c r="E5" s="6" t="str">
        <x:v>Every 30 days</x:v>
      </x:c>
      <x:c r="F5" s="6" t="n">
        <x:v>30</x:v>
      </x:c>
      <x:c r="G5" s="10" t="d">
        <x:v>2026-10-07T00:00:00.000Z</x:v>
      </x:c>
      <x:c r="H5" s="6" t="str">
        <x:v>18:00</x:v>
      </x:c>
      <x:c r="I5" s="6" t="str">
        <x:v>Ticket ID</x:v>
      </x:c>
      <x:c r="J5" s="7" t="b">
        <x:v>1</x:v>
      </x:c>
    </x:row>
    <x:row r="6" ht="42" customHeight="1">
      <x:c r="A6" s="6" t="str">
        <x:v>DEMO-ACK</x:v>
      </x:c>
      <x:c r="B6" s="6" t="str">
        <x:v>Demo: manager review missed</x:v>
      </x:c>
      <x:c r="C6" s="6" t="str">
        <x:v>Employee B</x:v>
      </x:c>
      <x:c r="D6" s="6" t="str">
        <x:v>employee.b@example.com</x:v>
      </x:c>
      <x:c r="E6" s="6" t="str">
        <x:v>Every 7 days</x:v>
      </x:c>
      <x:c r="F6" s="6" t="n">
        <x:v>7</x:v>
      </x:c>
      <x:c r="G6" s="10" t="d">
        <x:v>2026-10-07T00:00:00.000Z</x:v>
      </x:c>
      <x:c r="H6" s="6" t="str">
        <x:v>14:00</x:v>
      </x:c>
      <x:c r="I6" s="6" t="str">
        <x:v>Ticket ID</x:v>
      </x:c>
      <x:c r="J6" s="7" t="b">
        <x:v>1</x:v>
      </x:c>
    </x:row>
    <x:row r="7" ht="42" customHeight="1">
      <x:c r="A7" s="6" t="str">
        <x:v>DEMO-OPEN</x:v>
      </x:c>
      <x:c r="B7" s="6" t="str">
        <x:v>Demo: unresolved after 24 hours</x:v>
      </x:c>
      <x:c r="C7" s="6" t="str">
        <x:v>Employee C</x:v>
      </x:c>
      <x:c r="D7" s="6" t="str">
        <x:v>employee.c@example.com</x:v>
      </x:c>
      <x:c r="E7" s="6" t="str">
        <x:v>Every 15 days</x:v>
      </x:c>
      <x:c r="F7" s="6" t="n">
        <x:v>15</x:v>
      </x:c>
      <x:c r="G7" s="10" t="d">
        <x:v>2026-10-06T00:00:00.000Z</x:v>
      </x:c>
      <x:c r="H7" s="6" t="str">
        <x:v>16:00</x:v>
      </x:c>
      <x:c r="I7" s="6" t="str">
        <x:v>Ticket ID</x:v>
      </x:c>
      <x:c r="J7" s="7" t="b">
        <x:v>1</x:v>
      </x:c>
    </x:row>
  </x:sheetData>
  <x:dataValidations count="2">
    <x:dataValidation type="list" sqref="E2:E200">
      <x:formula1>"Daily,Every 7 days,Every 15 days,Every 30 days"</x:formula1>
    </x:dataValidation>
    <x:dataValidation type="list" sqref="J2:J200">
      <x:formula1>"TRUE,FALSE"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36" hidden="0" customWidth="1"/>
    <x:col min="3" max="3" width="75" hidden="0" customWidth="1"/>
  </x:cols>
  <x:sheetData>
    <x:row r="1" ht="42" customHeight="1">
      <x:c r="A1" s="6" t="str">
        <x:v>Setting</x:v>
      </x:c>
      <x:c r="B1" s="6" t="str">
        <x:v>Value</x:v>
      </x:c>
      <x:c r="C1" s="6" t="str">
        <x:v>Meaning</x:v>
      </x:c>
    </x:row>
    <x:row r="2" ht="42" customHeight="1">
      <x:c r="A2" s="6" t="str">
        <x:v>Manager email</x:v>
      </x:c>
      <x:c r="B2" s="6" t="str">
        <x:v>manager@example.com</x:v>
      </x:c>
      <x:c r="C2" s="6" t="str">
        <x:v>Replace with manager email before live testing.</x:v>
      </x:c>
    </x:row>
    <x:row r="3" ht="42" customHeight="1">
      <x:c r="A3" s="6" t="str">
        <x:v>Leadership email</x:v>
      </x:c>
      <x:c r="B3" s="6" t="str">
        <x:v>leadership@example.com</x:v>
      </x:c>
      <x:c r="C3" s="6" t="str">
        <x:v>Replace with leadership email. Comma-separated recipients allowed.</x:v>
      </x:c>
    </x:row>
    <x:row r="4" ht="42" customHeight="1">
      <x:c r="A4" s="6" t="str">
        <x:v>Acknowledgement hours</x:v>
      </x:c>
      <x:c r="B4" s="6" t="n">
        <x:v>2</x:v>
      </x:c>
      <x:c r="C4" s="6" t="str">
        <x:v>Elapsed hours from manager email delivery.</x:v>
      </x:c>
    </x:row>
    <x:row r="5" ht="42" customHeight="1">
      <x:c r="A5" s="6" t="str">
        <x:v>Resolution hours</x:v>
      </x:c>
      <x:c r="B5" s="6" t="n">
        <x:v>24</x:v>
      </x:c>
      <x:c r="C5" s="6" t="str">
        <x:v>Elapsed hours from task deadline.</x:v>
      </x:c>
    </x:row>
    <x:row r="6" ht="42" customHeight="1">
      <x:c r="A6" s="6" t="str">
        <x:v>Email mode</x:v>
      </x:c>
      <x:c r="B6" s="6" t="str">
        <x:v>DRY_RUN</x:v>
      </x:c>
      <x:c r="C6" s="6" t="str">
        <x:v>DRY_RUN logs simulated alerts. LIVE sends email.</x:v>
      </x:c>
    </x:row>
    <x:row r="7" ht="42" customHeight="1">
      <x:c r="A7" s="6" t="str">
        <x:v>Holidays</x:v>
      </x:c>
      <x:c r="B7" s="6" t="str"/>
      <x:c r="C7" s="6" t="str">
        <x:v>Comma-separated yyyy-mm-dd dates. Applies to Daily tasks only.</x:v>
      </x:c>
    </x:row>
    <x:row r="8" ht="42" customHeight="1">
      <x:c r="A8" s="6" t="str">
        <x:v>Time zone</x:v>
      </x:c>
      <x:c r="B8" s="6" t="str">
        <x:v>Asia/Kolkata</x:v>
      </x:c>
      <x:c r="C8" s="6" t="str">
        <x:v>Fixed IST in this prototype. setup sets spreadsheet time zone.</x:v>
      </x:c>
    </x:row>
    <x:row r="9" ht="42" customHeight="1">
      <x:c r="A9" s="6" t="str">
        <x:v>Demo as of</x:v>
      </x:c>
      <x:c r="B9" s="8" t="d">
        <x:v>2026-10-07T17:00:00.000Z</x:v>
      </x:c>
      <x:c r="C9" s="6" t="str">
        <x:v>Saved example data. Automation uses current time after installation.</x:v>
      </x:c>
    </x:row>
    <x:row r="10" ht="42" customHeight="1">
      <x:c r="A10" s="6" t="str">
        <x:v>Schedule rule</x:v>
      </x:c>
      <x:c r="B10" s="6" t="str">
        <x:v>Fixed due-date cadence</x:v>
      </x:c>
      <x:c r="C10" s="6" t="str">
        <x:v>7, 15 and 30 day tasks use calendar days, measured from previous scheduled due date.</x:v>
      </x:c>
    </x:row>
    <x:row r="11" ht="42" customHeight="1">
      <x:c r="A11" s="6" t="str">
        <x:v>Daily workdays</x:v>
      </x:c>
      <x:c r="B11" s="6" t="str">
        <x:v>Monday to Friday</x:v>
      </x:c>
      <x:c r="C11" s="6" t="str">
        <x:v>Weekends and Settings holidays skipped.</x:v>
      </x:c>
    </x:row>
    <x:row r="12" ht="42" customHeight="1">
      <x:c r="A12" s="6" t="str">
        <x:v>Automation interval minutes</x:v>
      </x:c>
      <x:c r="B12" s="6" t="n">
        <x:v>15</x:v>
      </x:c>
      <x:c r="C12" s="6" t="str">
        <x:v>Allowed: 1, 5, 10, 15 or 30. Run setup after changing. Timed demo uses 1 minute.</x:v>
      </x:c>
    </x:row>
    <x:row r="13" ht="42" customHeight="1">
      <x:c r="A13" s="6" t="str">
        <x:v>Live email tested</x:v>
      </x:c>
      <x:c r="B13" s="6" t="str">
        <x:v>No</x:v>
      </x:c>
      <x:c r="C13" s="6" t="str">
        <x:v>31 engine tests and mocked adapter checks passed. Live Google verification is pending.</x:v>
      </x:c>
    </x:row>
    <x:row r="14" ht="42" customHeight="1">
      <x:c r="A14" s="6" t="str">
        <x:v>Demo test inbox</x:v>
      </x:c>
      <x:c r="B14" s="6" t="str"/>
      <x:c r="C14" s="6" t="str">
        <x:v>Use your approved test inbox for both demo manager and leadership messages.</x:v>
      </x:c>
    </x:row>
    <x:row r="15" ht="42" customHeight="1">
      <x:c r="A15" s="6" t="str">
        <x:v>Demo email mode</x:v>
      </x:c>
      <x:c r="B15" s="6" t="str">
        <x:v>DRY_RUN</x:v>
      </x:c>
      <x:c r="C15" s="6" t="str">
        <x:v>Only DEMO-RUN tasks use this mode and test inbox. Normal email mode is separate.</x:v>
      </x:c>
    </x:row>
    <x:row r="16" ht="42" customHeight="1">
      <x:c r="A16" s="6" t="str">
        <x:v>Demo acknowledgement minutes</x:v>
      </x:c>
      <x:c r="B16" s="6" t="n">
        <x:v>1</x:v>
      </x:c>
      <x:c r="C16" s="6" t="str">
        <x:v>Timed demo only. Normal acknowledgement stays at 2 hours.</x:v>
      </x:c>
    </x:row>
    <x:row r="17" ht="42" customHeight="1">
      <x:c r="A17" s="6" t="str">
        <x:v>Demo resolution minutes</x:v>
      </x:c>
      <x:c r="B17" s="6" t="n">
        <x:v>3</x:v>
      </x:c>
      <x:c r="C17" s="6" t="str">
        <x:v>Timed demo only. Normal resolution stays at 24 hours.</x:v>
      </x:c>
    </x:row>
  </x:sheetData>
  <x:dataValidations count="1">
    <x:dataValidation type="list" sqref="B6">
      <x:formula1>"DRY_RUN,LIVE"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35" hidden="0" customWidth="1"/>
    <x:col min="3" max="3" width="22" hidden="0" customWidth="1"/>
    <x:col min="4" max="4" width="44" hidden="0" customWidth="1"/>
    <x:col min="5" max="5" width="34" hidden="0" customWidth="1"/>
    <x:col min="6" max="6" width="23" hidden="0" customWidth="1"/>
    <x:col min="7" max="7" width="22" hidden="0" customWidth="1"/>
    <x:col min="8" max="8" width="23" hidden="0" customWidth="1"/>
    <x:col min="9" max="9" width="22" hidden="0" customWidth="1"/>
  </x:cols>
  <x:sheetData>
    <x:row r="1" ht="44" customHeight="1">
      <x:c r="A1" s="6" t="str">
        <x:v>Alert ID</x:v>
      </x:c>
      <x:c r="B1" s="6" t="str">
        <x:v>Cycle ID</x:v>
      </x:c>
      <x:c r="C1" s="6" t="str">
        <x:v>Level</x:v>
      </x:c>
      <x:c r="D1" s="6" t="str">
        <x:v>Reason</x:v>
      </x:c>
      <x:c r="E1" s="6" t="str">
        <x:v>Recipient</x:v>
      </x:c>
      <x:c r="F1" s="6" t="str">
        <x:v>Created at</x:v>
      </x:c>
      <x:c r="G1" s="6" t="str">
        <x:v>Delivery status</x:v>
      </x:c>
      <x:c r="H1" s="6" t="str">
        <x:v>Sent at</x:v>
      </x:c>
      <x:c r="I1" s="6" t="str">
        <x:v>Error</x:v>
      </x:c>
    </x:row>
    <x:row r="2" ht="44" customHeight="1">
      <x:c r="A2" s="6" t="str">
        <x:v>DEMO-ACK|2026-10-07|Manager</x:v>
      </x:c>
      <x:c r="B2" s="6" t="str">
        <x:v>DEMO-ACK|2026-10-07</x:v>
      </x:c>
      <x:c r="C2" s="6" t="str">
        <x:v>Manager</x:v>
      </x:c>
      <x:c r="D2" s="6" t="str">
        <x:v>Task remains incomplete after deadline</x:v>
      </x:c>
      <x:c r="E2" s="6" t="str">
        <x:v>manager@example.com</x:v>
      </x:c>
      <x:c r="F2" s="8" t="d">
        <x:v>2026-10-07T14:01:00.000Z</x:v>
      </x:c>
      <x:c r="G2" s="6" t="str">
        <x:v>SIMULATED</x:v>
      </x:c>
      <x:c r="H2" s="8" t="d">
        <x:v>2026-10-07T14:01:00.000Z</x:v>
      </x:c>
      <x:c r="I2" s="6" t="str"/>
    </x:row>
    <x:row r="3" ht="44" customHeight="1">
      <x:c r="A3" s="6" t="str">
        <x:v>DEMO-OPEN|2026-10-06|Manager</x:v>
      </x:c>
      <x:c r="B3" s="6" t="str">
        <x:v>DEMO-OPEN|2026-10-06</x:v>
      </x:c>
      <x:c r="C3" s="6" t="str">
        <x:v>Manager</x:v>
      </x:c>
      <x:c r="D3" s="6" t="str">
        <x:v>Task remains incomplete after deadline</x:v>
      </x:c>
      <x:c r="E3" s="6" t="str">
        <x:v>manager@example.com</x:v>
      </x:c>
      <x:c r="F3" s="8" t="d">
        <x:v>2026-10-06T16:01:00.000Z</x:v>
      </x:c>
      <x:c r="G3" s="6" t="str">
        <x:v>SIMULATED</x:v>
      </x:c>
      <x:c r="H3" s="8" t="d">
        <x:v>2026-10-06T16:01:00.000Z</x:v>
      </x:c>
      <x:c r="I3" s="6" t="str"/>
    </x:row>
    <x:row r="4" ht="44" customHeight="1">
      <x:c r="A4" s="6" t="str">
        <x:v>DEMO-ACK|2026-10-07|Leadership</x:v>
      </x:c>
      <x:c r="B4" s="6" t="str">
        <x:v>DEMO-ACK|2026-10-07</x:v>
      </x:c>
      <x:c r="C4" s="6" t="str">
        <x:v>Leadership</x:v>
      </x:c>
      <x:c r="D4" s="6" t="str">
        <x:v>Manager acknowledgement SLA missed</x:v>
      </x:c>
      <x:c r="E4" s="6" t="str">
        <x:v>leadership@example.com</x:v>
      </x:c>
      <x:c r="F4" s="8" t="d">
        <x:v>2026-10-07T17:00:00.000Z</x:v>
      </x:c>
      <x:c r="G4" s="6" t="str">
        <x:v>SIMULATED</x:v>
      </x:c>
      <x:c r="H4" s="8" t="d">
        <x:v>2026-10-07T17:00:00.000Z</x:v>
      </x:c>
      <x:c r="I4" s="6" t="str"/>
    </x:row>
    <x:row r="5" ht="44" customHeight="1">
      <x:c r="A5" s="6" t="str">
        <x:v>DEMO-OPEN|2026-10-06|Leadership</x:v>
      </x:c>
      <x:c r="B5" s="6" t="str">
        <x:v>DEMO-OPEN|2026-10-06</x:v>
      </x:c>
      <x:c r="C5" s="6" t="str">
        <x:v>Leadership</x:v>
      </x:c>
      <x:c r="D5" s="6" t="str">
        <x:v>Task unresolved after resolution SLA</x:v>
      </x:c>
      <x:c r="E5" s="6" t="str">
        <x:v>leadership@example.com</x:v>
      </x:c>
      <x:c r="F5" s="8" t="d">
        <x:v>2026-10-07T17:00:00.000Z</x:v>
      </x:c>
      <x:c r="G5" s="6" t="str">
        <x:v>SIMULATED</x:v>
      </x:c>
      <x:c r="H5" s="8" t="d">
        <x:v>2026-10-07T17:00:00.000Z</x:v>
      </x:c>
      <x:c r="I5" s="6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24" hidden="0" customWidth="1"/>
    <x:col min="5" max="5" width="24" hidden="0" customWidth="1"/>
    <x:col min="6" max="6" width="50" hidden="0" customWidth="1"/>
  </x:cols>
  <x:sheetData>
    <x:row r="1" ht="36" customHeight="1">
      <x:c r="A1" s="6" t="str">
        <x:v>Cycle ID</x:v>
      </x:c>
      <x:c r="B1" s="6" t="str">
        <x:v>Task ID</x:v>
      </x:c>
      <x:c r="C1" s="6" t="str">
        <x:v>Assigned to</x:v>
      </x:c>
      <x:c r="D1" s="6" t="str">
        <x:v>Completed at</x:v>
      </x:c>
      <x:c r="E1" s="6" t="str">
        <x:v>Recorded by</x:v>
      </x:c>
      <x:c r="F1" s="6" t="str">
        <x:v>Accepted proof</x:v>
      </x:c>
    </x:row>
    <x:row r="2" ht="36" customHeight="1">
      <x:c r="A2" s="6" t="str">
        <x:v>PORTAL-07|2026-09-30</x:v>
      </x:c>
      <x:c r="B2" s="6" t="str">
        <x:v>PORTAL-07</x:v>
      </x:c>
      <x:c r="C2" s="6" t="str">
        <x:v>Employee B</x:v>
      </x:c>
      <x:c r="D2" s="8" t="d">
        <x:v>2026-09-30T17:19:59.999Z</x:v>
      </x:c>
      <x:c r="E2" s="6" t="str">
        <x:v>Employee B</x:v>
      </x:c>
      <x:c r="F2" s="6" t="str">
        <x:v>TKT-1001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90" hidden="0" customWidth="1"/>
  </x:cols>
  <x:sheetData>
    <x:row r="1" ht="42" customHeight="1">
      <x:c r="A1" s="6" t="str">
        <x:v>Check</x:v>
      </x:c>
      <x:c r="B1" s="6" t="str">
        <x:v>Result</x:v>
      </x:c>
      <x:c r="C1" s="6" t="str">
        <x:v>Detail</x:v>
      </x:c>
    </x:row>
    <x:row r="2" ht="42" customHeight="1">
      <x:c r="A2" s="6" t="str">
        <x:v>Google installation</x:v>
      </x:c>
      <x:c r="B2" s="6" t="str">
        <x:v>NOT RUN</x:v>
      </x:c>
      <x:c r="C2" s="6" t="str">
        <x:v>Import into Google Sheets and install the script.</x:v>
      </x:c>
    </x:row>
    <x:row r="3" ht="42" customHeight="1">
      <x:c r="A3" s="6" t="str">
        <x:v>Time zone and inputs</x:v>
      </x:c>
      <x:c r="B3" s="6" t="str">
        <x:v>NOT RUN</x:v>
      </x:c>
      <x:c r="C3" s="6" t="str">
        <x:v>Recurring tasks &gt; Check installation verifies these in Google.</x:v>
      </x:c>
    </x:row>
    <x:row r="4" ht="42" customHeight="1">
      <x:c r="A4" s="6" t="str">
        <x:v>Edit and time triggers</x:v>
      </x:c>
      <x:c r="B4" s="6" t="str">
        <x:v>NOT RUN</x:v>
      </x:c>
      <x:c r="C4" s="6" t="str">
        <x:v>The check expects one of each for the installer.</x:v>
      </x:c>
    </x:row>
    <x:row r="5" ht="42" customHeight="1">
      <x:c r="A5" s="6" t="str">
        <x:v>Employee permissions</x:v>
      </x:c>
      <x:c r="B5" s="6" t="str">
        <x:v>NOT RUN</x:v>
      </x:c>
      <x:c r="C5" s="6" t="str">
        <x:v>Set real employee emails, share as editors and run setup.</x:v>
      </x:c>
    </x:row>
    <x:row r="6" ht="42" customHeight="1">
      <x:c r="A6" s="6" t="str">
        <x:v>Live inbox delivery</x:v>
      </x:c>
      <x:c r="B6" s="6" t="str">
        <x:v>NOT VERIFIED</x:v>
      </x:c>
      <x:c r="C6" s="6" t="str">
        <x:v>Confirm manager and leadership messages in the test inbox.</x:v>
      </x:c>
    </x:row>
    <x:row r="7" ht="42" customHeight="1">
      <x:c r="A7" s="6" t="str">
        <x:v>Local engine tests</x:v>
      </x:c>
      <x:c r="B7" s="6" t="str">
        <x:v>PASS</x:v>
      </x:c>
      <x:c r="C7" s="6" t="str">
        <x:v>31 executed cases. Results are in Test Cases.</x:v>
      </x:c>
    </x:row>
    <x:row r="8" ht="42" customHeight="1">
      <x:c r="A8" s="6" t="str">
        <x:v>Local adapter checks</x:v>
      </x:c>
      <x:c r="B8" s="6" t="str">
        <x:v>PASS</x:v>
      </x:c>
      <x:c r="C8" s="6" t="str">
        <x:v>Mock sheets, mail, permissions, history and repeat-run checks passed.</x:v>
      </x:c>
    </x:row>
    <x:row r="9" ht="42" customHeight="1">
      <x:c r="A9" s="6" t="str">
        <x:v>Purpose</x:v>
      </x:c>
      <x:c r="B9" s="6" t="str">
        <x:v>Read before submission</x:v>
      </x:c>
      <x:c r="C9" s="6" t="str">
        <x:v>This sheet separates executed local tests from Google checks still to be done.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12" hidden="0" customWidth="1"/>
    <x:col min="3" max="3" width="80" hidden="0" customWidth="1"/>
    <x:col min="4" max="4" width="36" hidden="0" customWidth="1"/>
  </x:cols>
  <x:sheetData>
    <x:row r="1" ht="42" customHeight="1">
      <x:c r="A1" s="6" t="str">
        <x:v>Test</x:v>
      </x:c>
      <x:c r="B1" s="6" t="str">
        <x:v>Result</x:v>
      </x:c>
      <x:c r="C1" s="6" t="str">
        <x:v>Observed result</x:v>
      </x:c>
      <x:c r="D1" s="6" t="str">
        <x:v>Execution method</x:v>
      </x:c>
    </x:row>
    <x:row r="2" ht="42" customHeight="1">
      <x:c r="A2" s="6" t="str">
        <x:v>1. Recurring 7 days</x:v>
      </x:c>
      <x:c r="B2" s="6" t="str">
        <x:v>PASS</x:v>
      </x:c>
      <x:c r="C2" s="6" t="str">
        <x:v>Current closed. Next due 2026-10-14.</x:v>
      </x:c>
      <x:c r="D2" s="6" t="str">
        <x:v>Local shared-engine simulation</x:v>
      </x:c>
    </x:row>
    <x:row r="3" ht="42" customHeight="1">
      <x:c r="A3" s="6" t="str">
        <x:v>1. Recurring 15 days</x:v>
      </x:c>
      <x:c r="B3" s="6" t="str">
        <x:v>PASS</x:v>
      </x:c>
      <x:c r="C3" s="6" t="str">
        <x:v>Current closed. Next due 2026-10-22.</x:v>
      </x:c>
      <x:c r="D3" s="6" t="str">
        <x:v>Local shared-engine simulation</x:v>
      </x:c>
    </x:row>
    <x:row r="4" ht="42" customHeight="1">
      <x:c r="A4" s="6" t="str">
        <x:v>1. Recurring 30 days</x:v>
      </x:c>
      <x:c r="B4" s="6" t="str">
        <x:v>PASS</x:v>
      </x:c>
      <x:c r="C4" s="6" t="str">
        <x:v>Current closed. Next due 2026-11-06.</x:v>
      </x:c>
      <x:c r="D4" s="6" t="str">
        <x:v>Local shared-engine simulation</x:v>
      </x:c>
    </x:row>
    <x:row r="5" ht="42" customHeight="1">
      <x:c r="A5" s="6" t="str">
        <x:v>2. Single-point completion</x:v>
      </x:c>
      <x:c r="B5" s="6" t="str">
        <x:v>PASS</x:v>
      </x:c>
      <x:c r="C5" s="6" t="str">
        <x:v>One proof entry and Submit closes current cycle.</x:v>
      </x:c>
      <x:c r="D5" s="6" t="str">
        <x:v>Local shared-engine simulation</x:v>
      </x:c>
    </x:row>
    <x:row r="6" ht="42" customHeight="1">
      <x:c r="A6" s="6" t="str">
        <x:v>3. Daily completion</x:v>
      </x:c>
      <x:c r="B6" s="6" t="str">
        <x:v>PASS</x:v>
      </x:c>
      <x:c r="C6" s="6" t="str">
        <x:v>Friday completed with update text. Next cycle Monday.</x:v>
      </x:c>
      <x:c r="D6" s="6" t="str">
        <x:v>Local shared-engine simulation</x:v>
      </x:c>
    </x:row>
    <x:row r="7" ht="42" customHeight="1">
      <x:c r="A7" s="6" t="str">
        <x:v>7a. Deadline boundary</x:v>
      </x:c>
      <x:c r="B7" s="6" t="str">
        <x:v>PASS</x:v>
      </x:c>
      <x:c r="C7" s="6" t="str">
        <x:v>No overdue email at exact deadline.</x:v>
      </x:c>
      <x:c r="D7" s="6" t="str">
        <x:v>Local shared-engine simulation</x:v>
      </x:c>
    </x:row>
    <x:row r="8" ht="42" customHeight="1">
      <x:c r="A8" s="6" t="str">
        <x:v>4. Same-day manager alert</x:v>
      </x:c>
      <x:c r="B8" s="6" t="str">
        <x:v>PASS</x:v>
      </x:c>
      <x:c r="C8" s="6" t="str">
        <x:v>Manager notification simulated at 18:01 same day.</x:v>
      </x:c>
      <x:c r="D8" s="6" t="str">
        <x:v>Local shared-engine simulation</x:v>
      </x:c>
    </x:row>
    <x:row r="9" ht="42" customHeight="1">
      <x:c r="A9" s="6" t="str">
        <x:v>5. Manager acknowledgement</x:v>
      </x:c>
      <x:c r="B9" s="6" t="str">
        <x:v>PASS</x:v>
      </x:c>
      <x:c r="C9" s="6" t="str">
        <x:v>Acknowledged at 19:00. Task remains overdue until employee completes.</x:v>
      </x:c>
      <x:c r="D9" s="6" t="str">
        <x:v>Local shared-engine simulation</x:v>
      </x:c>
    </x:row>
    <x:row r="10" ht="42" customHeight="1">
      <x:c r="A10" s="6" t="str">
        <x:v>6a. Unresolved leadership escalation</x:v>
      </x:c>
      <x:c r="B10" s="6" t="str">
        <x:v>PASS</x:v>
      </x:c>
      <x:c r="C10" s="6" t="str">
        <x:v>Acknowledged but still open at due plus 24 hours.</x:v>
      </x:c>
      <x:c r="D10" s="6" t="str">
        <x:v>Local shared-engine simulation</x:v>
      </x:c>
    </x:row>
    <x:row r="11" ht="42" customHeight="1">
      <x:c r="A11" s="6" t="str">
        <x:v>7b. Acknowledgement boundary</x:v>
      </x:c>
      <x:c r="B11" s="6" t="str">
        <x:v>PASS</x:v>
      </x:c>
      <x:c r="C11" s="6" t="str">
        <x:v>No escalation before two hours from notification.</x:v>
      </x:c>
      <x:c r="D11" s="6" t="str">
        <x:v>Local shared-engine simulation</x:v>
      </x:c>
    </x:row>
    <x:row r="12" ht="42" customHeight="1">
      <x:c r="A12" s="6" t="str">
        <x:v>6b. Missing acknowledgement</x:v>
      </x:c>
      <x:c r="B12" s="6" t="str">
        <x:v>PASS</x:v>
      </x:c>
      <x:c r="C12" s="6" t="str">
        <x:v>Leadership notification simulated at manager sent plus two hours.</x:v>
      </x:c>
      <x:c r="D12" s="6" t="str">
        <x:v>Local shared-engine simulation</x:v>
      </x:c>
    </x:row>
    <x:row r="13" ht="42" customHeight="1">
      <x:c r="A13" s="6" t="str">
        <x:v>8. No duplicate cycles or alerts</x:v>
      </x:c>
      <x:c r="B13" s="6" t="str">
        <x:v>PASS</x:v>
      </x:c>
      <x:c r="C13" s="6" t="str">
        <x:v>Repeated runs retain 2 cycles and 2 unique alerts.</x:v>
      </x:c>
      <x:c r="D13" s="6" t="str">
        <x:v>Local shared-engine simulation</x:v>
      </x:c>
    </x:row>
    <x:row r="14" ht="42" customHeight="1">
      <x:c r="A14" s="6" t="str">
        <x:v>8b. No duplicate completion</x:v>
      </x:c>
      <x:c r="B14" s="6" t="str">
        <x:v>PASS</x:v>
      </x:c>
      <x:c r="C14" s="6" t="str">
        <x:v>Completion timestamp remains unchanged. No alert for completed work.</x:v>
      </x:c>
      <x:c r="D14" s="6" t="str">
        <x:v>Local shared-engine simulation</x:v>
      </x:c>
    </x:row>
    <x:row r="15" ht="42" customHeight="1">
      <x:c r="A15" s="6" t="str">
        <x:v>Additional. Missing proof</x:v>
      </x:c>
      <x:c r="B15" s="6" t="str">
        <x:v>PASS</x:v>
      </x:c>
      <x:c r="C15" s="6" t="str">
        <x:v>Blank proof rejected, cycle stays open.</x:v>
      </x:c>
      <x:c r="D15" s="6" t="str">
        <x:v>Local shared-engine simulation</x:v>
      </x:c>
    </x:row>
    <x:row r="16" ht="42" customHeight="1">
      <x:c r="A16" s="6" t="str">
        <x:v>Additional. Future completion</x:v>
      </x:c>
      <x:c r="B16" s="6" t="str">
        <x:v>PASS</x:v>
      </x:c>
      <x:c r="C16" s="6" t="str">
        <x:v>Future cycle submission rejected.</x:v>
      </x:c>
      <x:c r="D16" s="6" t="str">
        <x:v>Local shared-engine simulation</x:v>
      </x:c>
    </x:row>
    <x:row r="17" ht="42" customHeight="1">
      <x:c r="A17" s="6" t="str">
        <x:v>Additional. Resolution cancels escalation</x:v>
      </x:c>
      <x:c r="B17" s="6" t="str">
        <x:v>PASS</x:v>
      </x:c>
      <x:c r="C17" s="6" t="str">
        <x:v>Completed after manager alert, before escalation. No leadership email.</x:v>
      </x:c>
      <x:c r="D17" s="6" t="str">
        <x:v>Local shared-engine simulation</x:v>
      </x:c>
    </x:row>
    <x:row r="18" ht="42" customHeight="1">
      <x:c r="A18" s="6" t="str">
        <x:v>Additional. Holiday skip</x:v>
      </x:c>
      <x:c r="B18" s="6" t="str">
        <x:v>PASS</x:v>
      </x:c>
      <x:c r="C18" s="6" t="str">
        <x:v>Weekend and Monday holiday skipped.</x:v>
      </x:c>
      <x:c r="D18" s="6" t="str">
        <x:v>Local shared-engine simulation</x:v>
      </x:c>
    </x:row>
    <x:row r="19" ht="42" customHeight="1">
      <x:c r="A19" s="6" t="str">
        <x:v>Additional. Missed cycle backlog</x:v>
      </x:c>
      <x:c r="B19" s="6" t="str">
        <x:v>PASS</x:v>
      </x:c>
      <x:c r="C19" s="6" t="str">
        <x:v>Missed cycles retained separately, plus current and next cycle.</x:v>
      </x:c>
      <x:c r="D19" s="6" t="str">
        <x:v>Local shared-engine simulation</x:v>
      </x:c>
    </x:row>
    <x:row r="20" ht="42" customHeight="1">
      <x:c r="A20" s="6" t="str">
        <x:v>Daily evidence quality</x:v>
      </x:c>
      <x:c r="B20" s="6" t="str">
        <x:v>PASS</x:v>
      </x:c>
      <x:c r="C20" s="6" t="str">
        <x:v>A one-word daily attestation is rejected.</x:v>
      </x:c>
      <x:c r="D20" s="6" t="str">
        <x:v>Local shared-engine simulation</x:v>
      </x:c>
    </x:row>
    <x:row r="21" ht="42" customHeight="1">
      <x:c r="A21" s="6" t="str">
        <x:v>Stale leadership alert cancellation</x:v>
      </x:c>
      <x:c r="B21" s="6" t="str">
        <x:v>PASS</x:v>
      </x:c>
      <x:c r="C21" s="6" t="str">
        <x:v>Queued acknowledgement escalation cancelled when manager reviews.</x:v>
      </x:c>
      <x:c r="D21" s="6" t="str">
        <x:v>Local shared-engine simulation</x:v>
      </x:c>
    </x:row>
    <x:row r="22" ht="42" customHeight="1">
      <x:c r="A22" s="6" t="str">
        <x:v>Resolution after cancelled alert</x:v>
      </x:c>
      <x:c r="B22" s="6" t="str">
        <x:v>PASS</x:v>
      </x:c>
      <x:c r="C22" s="6" t="str">
        <x:v>Same unique leadership ID reused when resolution SLA later fails.</x:v>
      </x:c>
      <x:c r="D22" s="6" t="str">
        <x:v>Local shared-engine simulation</x:v>
      </x:c>
    </x:row>
    <x:row r="23" ht="42" customHeight="1">
      <x:c r="A23" s="6" t="str">
        <x:v>Late completion preserves schedule</x:v>
      </x:c>
      <x:c r="B23" s="6" t="str">
        <x:v>PASS</x:v>
      </x:c>
      <x:c r="C23" s="6" t="str">
        <x:v>Completion on 8 October keeps next scheduled due on 14 October.</x:v>
      </x:c>
      <x:c r="D23" s="6" t="str">
        <x:v>Local shared-engine simulation</x:v>
      </x:c>
    </x:row>
    <x:row r="24" ht="42" customHeight="1">
      <x:c r="A24" s="6" t="str">
        <x:v>Ticket format validation</x:v>
      </x:c>
      <x:c r="B24" s="6" t="str">
        <x:v>PASS</x:v>
      </x:c>
      <x:c r="C24" s="6" t="str">
        <x:v>Ticket with spaces rejected before completion.</x:v>
      </x:c>
      <x:c r="D24" s="6" t="str">
        <x:v>Local shared-engine simulation</x:v>
      </x:c>
    </x:row>
    <x:row r="25" ht="42" customHeight="1">
      <x:c r="A25" s="6" t="str">
        <x:v>Invalid calendar date</x:v>
      </x:c>
      <x:c r="B25" s="6" t="str">
        <x:v>PASS</x:v>
      </x:c>
      <x:c r="C25" s="6" t="str">
        <x:v>30 February rejected instead of silently rolling into March.</x:v>
      </x:c>
      <x:c r="D25" s="6" t="str">
        <x:v>Local shared-engine simulation</x:v>
      </x:c>
    </x:row>
    <x:row r="26" ht="42" customHeight="1">
      <x:c r="A26" s="6" t="str">
        <x:v>Frequency mismatch</x:v>
      </x:c>
      <x:c r="B26" s="6" t="str">
        <x:v>PASS</x:v>
      </x:c>
      <x:c r="C26" s="6" t="str">
        <x:v>7 day label with 15 day period rejected.</x:v>
      </x:c>
      <x:c r="D26" s="6" t="str">
        <x:v>Local shared-engine simulation</x:v>
      </x:c>
    </x:row>
    <x:row r="27" ht="42" customHeight="1">
      <x:c r="A27" s="6" t="str">
        <x:v>Duplicate task IDs</x:v>
      </x:c>
      <x:c r="B27" s="6" t="str">
        <x:v>PASS</x:v>
      </x:c>
      <x:c r="C27" s="6" t="str">
        <x:v>Duplicate master ID stops the run before creation.</x:v>
      </x:c>
      <x:c r="D27" s="6" t="str">
        <x:v>Local shared-engine simulation</x:v>
      </x:c>
    </x:row>
    <x:row r="28" ht="42" customHeight="1">
      <x:c r="A28" s="6" t="str">
        <x:v>Duplicate cycle IDs</x:v>
      </x:c>
      <x:c r="B28" s="6" t="str">
        <x:v>PASS</x:v>
      </x:c>
      <x:c r="C28" s="6" t="str">
        <x:v>Duplicate cycle stops the run.</x:v>
      </x:c>
      <x:c r="D28" s="6" t="str">
        <x:v>Local shared-engine simulation</x:v>
      </x:c>
    </x:row>
    <x:row r="29" ht="42" customHeight="1">
      <x:c r="A29" s="6" t="str">
        <x:v>Duplicate alert IDs</x:v>
      </x:c>
      <x:c r="B29" s="6" t="str">
        <x:v>PASS</x:v>
      </x:c>
      <x:c r="C29" s="6" t="str">
        <x:v>Duplicate alert stops the run before delivery.</x:v>
      </x:c>
      <x:c r="D29" s="6" t="str">
        <x:v>Local shared-engine simulation</x:v>
      </x:c>
    </x:row>
    <x:row r="30" ht="42" customHeight="1">
      <x:c r="A30" s="6" t="str">
        <x:v>Inactive task cancels unsent alert</x:v>
      </x:c>
      <x:c r="B30" s="6" t="str">
        <x:v>PASS</x:v>
      </x:c>
      <x:c r="C30" s="6" t="str">
        <x:v>Deactivated task does not send an already queued message.</x:v>
      </x:c>
      <x:c r="D30" s="6" t="str">
        <x:v>Local shared-engine simulation</x:v>
      </x:c>
    </x:row>
    <x:row r="31" ht="42" customHeight="1">
      <x:c r="A31" s="6" t="str">
        <x:v>Email validation</x:v>
      </x:c>
      <x:c r="B31" s="6" t="str">
        <x:v>PASS</x:v>
      </x:c>
      <x:c r="C31" s="6" t="str">
        <x:v>Placeholder, reserved and malformed recipients rejected.</x:v>
      </x:c>
      <x:c r="D31" s="6" t="str">
        <x:v>Local shared-engine simulation</x:v>
      </x:c>
    </x:row>
    <x:row r="32" ht="42" customHeight="1">
      <x:c r="A32" s="6" t="str">
        <x:v>Timed demonstration routing</x:v>
      </x:c>
      <x:c r="B32" s="6" t="str">
        <x:v>PASS</x:v>
      </x:c>
      <x:c r="C32" s="6" t="str">
        <x:v>Demo-only inbox and one-minute acknowledgement SLA used. Normal SLA stays unchanged.</x:v>
      </x:c>
      <x:c r="D32" s="6" t="str">
        <x:v>Local shared-engine simulation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112" hidden="0" customWidth="1"/>
  </x:cols>
  <x:sheetData>
    <x:row r="1" ht="48" customHeight="1">
      <x:c r="A1" s="6" t="str">
        <x:v>Item</x:v>
      </x:c>
      <x:c r="B1" s="6" t="str">
        <x:v>Instructions</x:v>
      </x:c>
    </x:row>
    <x:row r="2" ht="48" customHeight="1">
      <x:c r="A2" s="6" t="str">
        <x:v>Employee pending list</x:v>
      </x:c>
      <x:c r="B2" s="6" t="str">
        <x:v>Use Employee Tasks. Filter Assigned to and Status = Due or Overdue. Use a personal filter view in Google Sheets so other employees are unaffected.</x:v>
      </x:c>
    </x:row>
    <x:row r="3" ht="48" customHeight="1">
      <x:c r="A3" s="6" t="str">
        <x:v>Ticket task</x:v>
      </x:c>
      <x:c r="B3" s="6" t="str">
        <x:v>Complete the portal action first. Enter the Ticket ID in H, then tick Submit in I. The script timestamps completion and closes this cycle.</x:v>
      </x:c>
    </x:row>
    <x:row r="4" ht="48" customHeight="1">
      <x:c r="A4" s="6" t="str">
        <x:v>Daily task</x:v>
      </x:c>
      <x:c r="B4" s="6" t="str">
        <x:v>After posting to the WhatsApp group, paste the short update text or a screenshot link in H and tick I. Completion time is recorded automatically.</x:v>
      </x:c>
    </x:row>
    <x:row r="5" ht="48" customHeight="1">
      <x:c r="A5" s="6" t="str">
        <x:v>Proof limitation</x:v>
      </x:c>
      <x:c r="B5" s="6" t="str">
        <x:v>Daily text must contain at least 12 characters. Short yes or done entries are rejected. WhatsApp and portal evidence still needs human review.</x:v>
      </x:c>
    </x:row>
    <x:row r="6" ht="48" customHeight="1">
      <x:c r="A6" s="6" t="str">
        <x:v>Minimum daily effort</x:v>
      </x:c>
      <x:c r="B6" s="6" t="str">
        <x:v>One short proof entry and one checkbox. If screenshots are used, share the Drive link with the manager. No second completion register.</x:v>
      </x:c>
    </x:row>
    <x:row r="7" ht="48" customHeight="1">
      <x:c r="A7" s="6" t="str">
        <x:v>Current and next cycles</x:v>
      </x:c>
      <x:c r="B7" s="6" t="str">
        <x:v>Each task has a unique Task ID plus scheduled date Cycle ID. One future cycle is prepared. Earlier unfinished cycles remain pending. Completing late never moves the schedule.</x:v>
      </x:c>
    </x:row>
    <x:row r="8" ht="48" customHeight="1">
      <x:c r="A8" s="6" t="str">
        <x:v>Manager monitoring</x:v>
      </x:c>
      <x:c r="B8" s="6" t="str">
        <x:v>Manager Review shows counts for every employee and an overdue detail view. Manager works on the matching row in Employee Tasks for acknowledgement and action.</x:v>
      </x:c>
    </x:row>
    <x:row r="9" ht="48" customHeight="1">
      <x:c r="A9" s="6" t="str">
        <x:v>Manager action</x:v>
      </x:c>
      <x:c r="B9" s="6" t="str">
        <x:v>Read the alert, contact the employee, enter the follow-up action in M and tick L. N records acknowledgement time. Acknowledgement does not complete the task.</x:v>
      </x:c>
    </x:row>
    <x:row r="10" ht="48" customHeight="1">
      <x:c r="A10" s="6" t="str">
        <x:v>Acknowledgement record</x:v>
      </x:c>
      <x:c r="B10" s="6" t="str">
        <x:v>Manager input columns are protected for the configured manager and script installer after setup. Acknowledged by records the configured manager email.</x:v>
      </x:c>
    </x:row>
    <x:row r="11" ht="48" customHeight="1">
      <x:c r="A11" s="6" t="str">
        <x:v>Employee permissions</x:v>
      </x:c>
      <x:c r="B11" s="6" t="str">
        <x:v>After setup, H and I are restricted to the assigned employee email and owner. Completed rows are locked for employees. Completed by records the assigned employee, not a verified login.</x:v>
      </x:c>
    </x:row>
    <x:row r="12" ht="48" customHeight="1">
      <x:c r="A12" s="6" t="str">
        <x:v>SLA: first alert</x:v>
      </x:c>
      <x:c r="B12" s="6" t="str">
        <x:v>For a usual 18:00 deadline, the first successful 15 minute scheduler run after 18:00 queues one manager email per overdue cycle, on the same day under normal trigger operation.</x:v>
      </x:c>
    </x:row>
    <x:row r="13" ht="48" customHeight="1">
      <x:c r="A13" s="6" t="str">
        <x:v>SLA: leadership</x:v>
      </x:c>
      <x:c r="B13" s="6" t="str">
        <x:v>Escalate once if no acknowledgement 2 elapsed hours after manager email delivery, or the task stays open 24 elapsed hours after deadline. Use whichever condition is reached first.</x:v>
      </x:c>
    </x:row>
    <x:row r="14" ht="48" customHeight="1">
      <x:c r="A14" s="6" t="str">
        <x:v>SLA reasoning</x:v>
      </x:c>
      <x:c r="B14" s="6" t="str">
        <x:v>Two hours gives the manager time to notice and assign follow-up. One day allows resolution of portal issues. Calendar hours keep unresolved items visible even across weekends.</x:v>
      </x:c>
    </x:row>
    <x:row r="15" ht="48" customHeight="1">
      <x:c r="A15" s="6" t="str">
        <x:v>Timing limitation</x:v>
      </x:c>
      <x:c r="B15" s="6" t="str">
        <x:v>Apps Script triggers are not exact-time delivery guarantees. An outage, quota exhaustion or failure can delay a message. Monitor Apps Script Executions and Alert Log.</x:v>
      </x:c>
    </x:row>
    <x:row r="16" ht="48" customHeight="1">
      <x:c r="A16" s="6" t="str">
        <x:v>Duplicate controls</x:v>
      </x:c>
      <x:c r="B16" s="6" t="str">
        <x:v>Document lock serializes runs. Cycle and alert IDs are checked before insertion. Completed cycles keep the first timestamp. One manager and one leadership alert per cycle.</x:v>
      </x:c>
    </x:row>
    <x:row r="17" ht="48" customHeight="1">
      <x:c r="A17" s="6" t="str">
        <x:v>Uncertain delivery</x:v>
      </x:c>
      <x:c r="B17" s="6" t="str">
        <x:v>An email send marked SENDING is not automatically resent. Check Sent mail and recipient inbox first. This prevents duplicate retries after an uncertain send.</x:v>
      </x:c>
    </x:row>
    <x:row r="18" ht="48" customHeight="1">
      <x:c r="A18" s="6" t="str">
        <x:v>Failed delivery</x:v>
      </x:c>
      <x:c r="B18" s="6" t="str">
        <x:v>FAILED means send was not attempted due to invalid recipient or quota. Correct the cause, then use Recurring tasks &gt; Retry FAILED emails. Completed cycles cancel queued alerts.</x:v>
      </x:c>
    </x:row>
    <x:row r="19" ht="48" customHeight="1">
      <x:c r="A19" s="6" t="str">
        <x:v>Import</x:v>
      </x:c>
      <x:c r="B19" s="6" t="str">
        <x:v>Upload the xlsx to Google Drive, open it with Google Sheets and use File &gt; Save as Google Sheets. Apps Script is not embedded in the xlsx.</x:v>
      </x:c>
    </x:row>
    <x:row r="20" ht="48" customHeight="1">
      <x:c r="A20" s="6" t="str">
        <x:v>Install script</x:v>
      </x:c>
      <x:c r="B20" s="6" t="str">
        <x:v>Open Extensions &gt; Apps Script. Replace Code.gs with Automation.gs contents. Save. Set project time zone to Asia/Kolkata.</x:v>
      </x:c>
    </x:row>
    <x:row r="21" ht="48" customHeight="1">
      <x:c r="A21" s="6" t="str">
        <x:v>Set up</x:v>
      </x:c>
      <x:c r="B21" s="6" t="str">
        <x:v>Keep Email mode DRY_RUN. Run setup from Apps Script as the sheet owner and authorize Google permissions. Reload the sheet to see the Recurring tasks menu.</x:v>
      </x:c>
    </x:row>
    <x:row r="22" ht="48" customHeight="1">
      <x:c r="A22" s="6" t="str">
        <x:v>Installed automation</x:v>
      </x:c>
      <x:c r="B22" s="6" t="str">
        <x:v>setup creates one installable edit trigger and one 15 minute time trigger for this installer. Run setup again safely as the same installer. Only one owner should install triggers.</x:v>
      </x:c>
    </x:row>
    <x:row r="23" ht="48" customHeight="1">
      <x:c r="A23" s="6" t="str">
        <x:v>Edit behaviour</x:v>
      </x:c>
      <x:c r="B23" s="6" t="str">
        <x:v>Proof and checkbox edits are processed by an installable trigger. Refresh / process updates is available if a checkbox is waiting or you need to inspect a validation error.</x:v>
      </x:c>
    </x:row>
    <x:row r="24" ht="48" customHeight="1">
      <x:c r="A24" s="6" t="str">
        <x:v>Run the supplied tests</x:v>
      </x:c>
      <x:c r="B24" s="6" t="str">
        <x:v>Use Recurring tasks &gt; Run isolated demo tests. It runs 31 engine cases without sending email or changing Employee Tasks.</x:v>
      </x:c>
    </x:row>
    <x:row r="25" ht="48" customHeight="1">
      <x:c r="A25" s="6" t="str">
        <x:v>Live email demonstration</x:v>
      </x:c>
      <x:c r="B25" s="6" t="str">
        <x:v>Use a separate copy. Set Demo test inbox and Demo email mode = LIVE. Prepare timed demo creates three fresh tasks with a 1 minute acknowledgement SLA and 3 minute resolution SLA.</x:v>
      </x:c>
    </x:row>
    <x:row r="26" ht="48" customHeight="1">
      <x:c r="A26" s="6" t="str">
        <x:v>Before real use</x:v>
      </x:c>
      <x:c r="B26" s="6" t="str">
        <x:v>Clear Employee Tasks and Alert Log demo data. Delete DEMO-ACK and DEMO-OPEN from Task Master. Set the four real first due dates and emails. Keep Task IDs stable, then run setup.</x:v>
      </x:c>
    </x:row>
    <x:row r="27" ht="48" customHeight="1">
      <x:c r="A27" s="6" t="str">
        <x:v>Changing schedule</x:v>
      </x:c>
      <x:c r="B27" s="6" t="str">
        <x:v>Change frequency / period for future operation carefully. Existing cycle due dates are preserved. Create a new Task ID and deactivate the old task if the schedule is being replaced.</x:v>
      </x:c>
    </x:row>
    <x:row r="28" ht="48" customHeight="1">
      <x:c r="A28" s="6" t="str">
        <x:v>Inactive tasks</x:v>
      </x:c>
      <x:c r="B28" s="6" t="str">
        <x:v>Active = FALSE stops new cycles and alerts. Existing open records stay visible for manager review.</x:v>
      </x:c>
    </x:row>
    <x:row r="29" ht="48" customHeight="1">
      <x:c r="A29" s="6" t="str">
        <x:v>Excel behaviour</x:v>
      </x:c>
      <x:c r="B29" s="6" t="str">
        <x:v>The xlsx is a plain editable template and saved demonstration. Recurrence, timestamps, checkboxes and email automation operate after Apps Script installation in Google Sheets.</x:v>
      </x:c>
    </x:row>
    <x:row r="30" ht="48" customHeight="1">
      <x:c r="A30" s="6" t="str">
        <x:v>Source: installable triggers</x:v>
      </x:c>
      <x:c r="B30" s="6" t="str">
        <x:v>https://developers.google.com/apps-script/guides/triggers/installable</x:v>
      </x:c>
    </x:row>
    <x:row r="31" ht="48" customHeight="1">
      <x:c r="A31" s="6" t="str">
        <x:v>Source: service quotas</x:v>
      </x:c>
      <x:c r="B31" s="6" t="str">
        <x:v>https://developers.google.com/apps-script/guides/services/quotas</x:v>
      </x:c>
    </x:row>
    <x:row r="32" ht="48" customHeight="1">
      <x:c r="A32" s="6" t="str">
        <x:v>Source: MailApp</x:v>
      </x:c>
      <x:c r="B32" s="6" t="str">
        <x:v>https://developers.google.com/apps-script/reference/mail/mail-app</x:v>
      </x:c>
    </x:row>
    <x:row r="33" ht="48" customHeight="1">
      <x:c r="A33" s="6" t="str">
        <x:v>Completion history</x:v>
      </x:c>
      <x:c r="B33" s="6" t="str">
        <x:v>Accepted proof and timestamp are copied automatically to the protected Completion History. The employee updates only Employee Tasks. Later edits cannot overwrite that history.</x:v>
      </x:c>
    </x:row>
    <x:row r="34" ht="48" customHeight="1">
      <x:c r="A34" s="6" t="str">
        <x:v>Check installation</x:v>
      </x:c>
      <x:c r="B34" s="6" t="str">
        <x:v>Recurring tasks &gt; Check installation checks settings, recipients, IDs, trigger counts, quota and uncertain sends. Confirm actual email delivery separately.</x:v>
      </x:c>
    </x:row>
    <x:row r="35" ht="48" customHeight="1">
      <x:c r="A35" s="6" t="str">
        <x:v>Stop timed demo</x:v>
      </x:c>
      <x:c r="B35" s="6" t="str">
        <x:v>Use Recurring tasks &gt; Stop timed demo afterwards. It deactivates demo tasks, keeps the evidence and restores the prior scheduler interval.</x:v>
      </x:c>
    </x:row>
    <x:row r="36" ht="48" customHeight="1">
      <x:c r="A36" s="6" t="str">
        <x:v>Google Sheet visibility</x:v>
      </x:c>
      <x:c r="B36" s="6" t="str">
        <x:v>All editors can view task data and the bound script. Input protections prevent ordinary editing mistakes. Personal filters do not provide data privacy.</x:v>
      </x:c>
    </x:row>
    <x:row r="37" ht="48" customHeight="1">
      <x:c r="A37" s="6" t="str">
        <x:v>Source: sheet protection</x:v>
      </x:c>
      <x:c r="B37" s="6" t="str">
        <x:v>https://developers.google.com/apps-script/reference/spreadsheet/protection</x:v>
      </x:c>
    </x:row>
  </x:sheetData>
  <x:pageMargins left="0.7" right="0.7" top="0.75" bottom="0.75" header="0.3" footer="0.3"/>
</x:worksheet>
</file>